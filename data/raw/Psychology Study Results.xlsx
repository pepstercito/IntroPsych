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sutdapac-my.sharepoint.com/personal/natalie_wong_mymail_sutd_edu_sg/Documents/"/>
    </mc:Choice>
  </mc:AlternateContent>
  <xr:revisionPtr revIDLastSave="0" documentId="8_{5C6CC299-3A74-47CE-B2ED-587C002AC603}" xr6:coauthVersionLast="47" xr6:coauthVersionMax="47" xr10:uidLastSave="{00000000-0000-0000-0000-000000000000}"/>
  <bookViews>
    <workbookView minimized="1" xWindow="3456" yWindow="3456" windowWidth="23040" windowHeight="12168" xr2:uid="{BFE90F54-9B71-4C14-AD05-7D05C5439349}"/>
  </bookViews>
  <sheets>
    <sheet name="Psychology Study - CG" sheetId="4" r:id="rId1"/>
    <sheet name="Psychology Study - E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2" i="3" l="1"/>
  <c r="DA3" i="3"/>
  <c r="DA4" i="3"/>
  <c r="DA5" i="3"/>
  <c r="DA6" i="3"/>
  <c r="DA7" i="3"/>
  <c r="DA8" i="3"/>
  <c r="DA9" i="3"/>
  <c r="DA10" i="3"/>
  <c r="DA11" i="3"/>
  <c r="DA12" i="3"/>
  <c r="DA13" i="3"/>
  <c r="DA14" i="3"/>
  <c r="DA15" i="3"/>
  <c r="DA16" i="3"/>
  <c r="DA17" i="3"/>
  <c r="DA18" i="3"/>
  <c r="DA19" i="3"/>
  <c r="DA20" i="3"/>
  <c r="DA21" i="3"/>
  <c r="DA22" i="3"/>
  <c r="CV2" i="3"/>
  <c r="CV3" i="3"/>
  <c r="CV4" i="3"/>
  <c r="CV5" i="3"/>
  <c r="CV6" i="3"/>
  <c r="CV7" i="3"/>
  <c r="CV8" i="3"/>
  <c r="CV9" i="3"/>
  <c r="CV10" i="3"/>
  <c r="CV11" i="3"/>
  <c r="CV12" i="3"/>
  <c r="CV13" i="3"/>
  <c r="CV14" i="3"/>
  <c r="CV15" i="3"/>
  <c r="CV16" i="3"/>
  <c r="CV17" i="3"/>
  <c r="CV18" i="3"/>
  <c r="CV19" i="3"/>
  <c r="CV20" i="3"/>
  <c r="CV21" i="3"/>
  <c r="CV22" i="3"/>
  <c r="CQ2" i="3"/>
  <c r="CQ3" i="3"/>
  <c r="CQ4" i="3"/>
  <c r="CQ5" i="3"/>
  <c r="CQ6" i="3"/>
  <c r="CQ7" i="3"/>
  <c r="CQ8" i="3"/>
  <c r="CQ9" i="3"/>
  <c r="CQ10" i="3"/>
  <c r="CQ11" i="3"/>
  <c r="CQ12" i="3"/>
  <c r="CQ13" i="3"/>
  <c r="CQ14" i="3"/>
  <c r="CQ15" i="3"/>
  <c r="CQ16" i="3"/>
  <c r="CQ17" i="3"/>
  <c r="CQ18" i="3"/>
  <c r="CQ19" i="3"/>
  <c r="CQ20" i="3"/>
  <c r="CQ21" i="3"/>
  <c r="CQ22" i="3"/>
  <c r="CL2" i="3"/>
  <c r="CL3" i="3"/>
  <c r="CL4" i="3"/>
  <c r="CL5" i="3"/>
  <c r="CL6" i="3"/>
  <c r="CL7" i="3"/>
  <c r="CL8" i="3"/>
  <c r="CL9" i="3"/>
  <c r="CL10" i="3"/>
  <c r="CL11" i="3"/>
  <c r="CL12" i="3"/>
  <c r="CL13" i="3"/>
  <c r="CL14" i="3"/>
  <c r="CL15" i="3"/>
  <c r="CL16" i="3"/>
  <c r="CL17" i="3"/>
  <c r="CL18" i="3"/>
  <c r="CL19" i="3"/>
  <c r="CL20" i="3"/>
  <c r="CL21" i="3"/>
  <c r="CL22" i="3"/>
  <c r="CG2" i="3"/>
  <c r="CG3" i="3"/>
  <c r="CG4" i="3"/>
  <c r="CG5" i="3"/>
  <c r="CG6" i="3"/>
  <c r="CG7" i="3"/>
  <c r="CG8" i="3"/>
  <c r="CG9" i="3"/>
  <c r="CG10" i="3"/>
  <c r="CG11" i="3"/>
  <c r="CG12" i="3"/>
  <c r="CG13" i="3"/>
  <c r="CG14" i="3"/>
  <c r="CG15" i="3"/>
  <c r="CG16" i="3"/>
  <c r="CG17" i="3"/>
  <c r="CG18" i="3"/>
  <c r="CG19" i="3"/>
  <c r="CG20" i="3"/>
  <c r="CG21" i="3"/>
  <c r="CG22" i="3"/>
  <c r="CB2" i="3"/>
  <c r="CB3" i="3"/>
  <c r="CB4" i="3"/>
  <c r="CB5" i="3"/>
  <c r="CB6" i="3"/>
  <c r="CB7" i="3"/>
  <c r="CB8" i="3"/>
  <c r="CB9" i="3"/>
  <c r="CB10" i="3"/>
  <c r="CB11" i="3"/>
  <c r="CB12" i="3"/>
  <c r="CB13" i="3"/>
  <c r="CB14" i="3"/>
  <c r="CB15" i="3"/>
  <c r="CB16" i="3"/>
  <c r="CB17" i="3"/>
  <c r="CB18" i="3"/>
  <c r="CB19" i="3"/>
  <c r="CB20" i="3"/>
  <c r="CB21" i="3"/>
  <c r="CB22" i="3"/>
  <c r="BW2" i="3"/>
  <c r="BW3" i="3"/>
  <c r="BW4" i="3"/>
  <c r="BW5" i="3"/>
  <c r="BW6" i="3"/>
  <c r="BW7" i="3"/>
  <c r="BW8" i="3"/>
  <c r="BW9" i="3"/>
  <c r="BW10" i="3"/>
  <c r="BW11" i="3"/>
  <c r="BW12" i="3"/>
  <c r="BW13" i="3"/>
  <c r="BW14" i="3"/>
  <c r="BW15" i="3"/>
  <c r="BW16" i="3"/>
  <c r="BW17" i="3"/>
  <c r="BW18" i="3"/>
  <c r="BW19" i="3"/>
  <c r="BW20" i="3"/>
  <c r="BW21" i="3"/>
  <c r="BW22" i="3"/>
  <c r="BR2" i="3"/>
  <c r="BR3" i="3"/>
  <c r="BR4" i="3"/>
  <c r="BR5" i="3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M2" i="3"/>
  <c r="BM3" i="3"/>
  <c r="BM4" i="3"/>
  <c r="BM5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H2" i="3"/>
  <c r="BH3" i="3"/>
  <c r="BH4" i="3"/>
  <c r="BH5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C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AX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S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I2" i="3"/>
  <c r="AI3" i="3"/>
  <c r="AI4" i="3"/>
  <c r="AI5" i="3"/>
  <c r="AI6" i="3"/>
  <c r="AI7" i="3"/>
  <c r="AI8" i="3"/>
  <c r="AI9" i="3"/>
  <c r="AI10" i="3"/>
  <c r="AI11" i="3"/>
  <c r="AI12" i="3"/>
  <c r="AI13" i="3"/>
  <c r="C13" i="3" s="1"/>
  <c r="AI14" i="3"/>
  <c r="AI15" i="3"/>
  <c r="AI16" i="3"/>
  <c r="AI17" i="3"/>
  <c r="AI18" i="3"/>
  <c r="AI19" i="3"/>
  <c r="AI20" i="3"/>
  <c r="AI21" i="3"/>
  <c r="AI22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T2" i="3"/>
  <c r="T3" i="3"/>
  <c r="T4" i="3"/>
  <c r="T5" i="3"/>
  <c r="T6" i="3"/>
  <c r="T7" i="3"/>
  <c r="T8" i="3"/>
  <c r="T9" i="3"/>
  <c r="T10" i="3"/>
  <c r="C10" i="3" s="1"/>
  <c r="T11" i="3"/>
  <c r="T12" i="3"/>
  <c r="T13" i="3"/>
  <c r="T14" i="3"/>
  <c r="C14" i="3" s="1"/>
  <c r="T15" i="3"/>
  <c r="T16" i="3"/>
  <c r="T17" i="3"/>
  <c r="T18" i="3"/>
  <c r="T19" i="3"/>
  <c r="T20" i="3"/>
  <c r="T21" i="3"/>
  <c r="T22" i="3"/>
  <c r="O2" i="3"/>
  <c r="O3" i="3"/>
  <c r="C3" i="3" s="1"/>
  <c r="O4" i="3"/>
  <c r="O5" i="3"/>
  <c r="C5" i="3" s="1"/>
  <c r="O6" i="3"/>
  <c r="C6" i="3" s="1"/>
  <c r="O7" i="3"/>
  <c r="C7" i="3" s="1"/>
  <c r="O8" i="3"/>
  <c r="O9" i="3"/>
  <c r="C9" i="3" s="1"/>
  <c r="O10" i="3"/>
  <c r="O11" i="3"/>
  <c r="O12" i="3"/>
  <c r="O13" i="3"/>
  <c r="O14" i="3"/>
  <c r="O15" i="3"/>
  <c r="O16" i="3"/>
  <c r="O17" i="3"/>
  <c r="O18" i="3"/>
  <c r="O19" i="3"/>
  <c r="C19" i="3" s="1"/>
  <c r="O20" i="3"/>
  <c r="O21" i="3"/>
  <c r="C21" i="3" s="1"/>
  <c r="O22" i="3"/>
  <c r="C22" i="3" s="1"/>
  <c r="J2" i="3"/>
  <c r="C2" i="3" s="1"/>
  <c r="J3" i="3"/>
  <c r="J4" i="3"/>
  <c r="C4" i="3" s="1"/>
  <c r="J5" i="3"/>
  <c r="J6" i="3"/>
  <c r="J7" i="3"/>
  <c r="J8" i="3"/>
  <c r="J9" i="3"/>
  <c r="J10" i="3"/>
  <c r="J11" i="3"/>
  <c r="C11" i="3" s="1"/>
  <c r="J12" i="3"/>
  <c r="C12" i="3" s="1"/>
  <c r="J13" i="3"/>
  <c r="J14" i="3"/>
  <c r="J15" i="3"/>
  <c r="C15" i="3" s="1"/>
  <c r="J16" i="3"/>
  <c r="J17" i="3"/>
  <c r="C17" i="3" s="1"/>
  <c r="J18" i="3"/>
  <c r="C18" i="3" s="1"/>
  <c r="J19" i="3"/>
  <c r="J20" i="3"/>
  <c r="C20" i="3" s="1"/>
  <c r="J21" i="3"/>
  <c r="J22" i="3"/>
  <c r="C8" i="3"/>
  <c r="C16" i="3"/>
  <c r="DA2" i="4"/>
  <c r="DA3" i="4"/>
  <c r="DA4" i="4"/>
  <c r="DA5" i="4"/>
  <c r="DA6" i="4"/>
  <c r="DA7" i="4"/>
  <c r="DA8" i="4"/>
  <c r="DA9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CV2" i="4"/>
  <c r="CV3" i="4"/>
  <c r="CV4" i="4"/>
  <c r="CV5" i="4"/>
  <c r="CV6" i="4"/>
  <c r="CV7" i="4"/>
  <c r="CV8" i="4"/>
  <c r="CV9" i="4"/>
  <c r="CV10" i="4"/>
  <c r="CV11" i="4"/>
  <c r="CV12" i="4"/>
  <c r="CV13" i="4"/>
  <c r="CV14" i="4"/>
  <c r="CV15" i="4"/>
  <c r="CV16" i="4"/>
  <c r="CV17" i="4"/>
  <c r="CV18" i="4"/>
  <c r="CV19" i="4"/>
  <c r="CV20" i="4"/>
  <c r="CV21" i="4"/>
  <c r="CV22" i="4"/>
  <c r="CQ2" i="4"/>
  <c r="CQ3" i="4"/>
  <c r="CQ4" i="4"/>
  <c r="CQ5" i="4"/>
  <c r="CQ6" i="4"/>
  <c r="CQ7" i="4"/>
  <c r="CQ8" i="4"/>
  <c r="CQ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L2" i="4"/>
  <c r="CL3" i="4"/>
  <c r="CL4" i="4"/>
  <c r="CL5" i="4"/>
  <c r="CL6" i="4"/>
  <c r="CL7" i="4"/>
  <c r="CL8" i="4"/>
  <c r="CL9" i="4"/>
  <c r="CL10" i="4"/>
  <c r="CL11" i="4"/>
  <c r="CL12" i="4"/>
  <c r="CL13" i="4"/>
  <c r="CL14" i="4"/>
  <c r="CL15" i="4"/>
  <c r="CL16" i="4"/>
  <c r="CL17" i="4"/>
  <c r="CL18" i="4"/>
  <c r="CL19" i="4"/>
  <c r="CL20" i="4"/>
  <c r="CL21" i="4"/>
  <c r="CL22" i="4"/>
  <c r="CG2" i="4"/>
  <c r="CG3" i="4"/>
  <c r="CG4" i="4"/>
  <c r="CG5" i="4"/>
  <c r="CG6" i="4"/>
  <c r="CG7" i="4"/>
  <c r="CG8" i="4"/>
  <c r="CG9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B2" i="4"/>
  <c r="CB3" i="4"/>
  <c r="CB4" i="4"/>
  <c r="CB5" i="4"/>
  <c r="CB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BW2" i="4"/>
  <c r="BW3" i="4"/>
  <c r="BW4" i="4"/>
  <c r="BW5" i="4"/>
  <c r="BW6" i="4"/>
  <c r="BW7" i="4"/>
  <c r="BW8" i="4"/>
  <c r="BW9" i="4"/>
  <c r="BW10" i="4"/>
  <c r="BW11" i="4"/>
  <c r="BW12" i="4"/>
  <c r="BW13" i="4"/>
  <c r="BW14" i="4"/>
  <c r="BW15" i="4"/>
  <c r="BW16" i="4"/>
  <c r="BW17" i="4"/>
  <c r="BW18" i="4"/>
  <c r="BW19" i="4"/>
  <c r="BW20" i="4"/>
  <c r="BW21" i="4"/>
  <c r="BW22" i="4"/>
  <c r="BR2" i="4"/>
  <c r="BR3" i="4"/>
  <c r="BR4" i="4"/>
  <c r="BR5" i="4"/>
  <c r="BR6" i="4"/>
  <c r="BR7" i="4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M2" i="4"/>
  <c r="BM3" i="4"/>
  <c r="BM4" i="4"/>
  <c r="BM5" i="4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C2" i="4"/>
  <c r="BC3" i="4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AX2" i="4"/>
  <c r="AX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BH2" i="4"/>
  <c r="BH3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AS2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N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I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D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Y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O2" i="4"/>
  <c r="O3" i="4"/>
  <c r="C3" i="4" s="1"/>
  <c r="O4" i="4"/>
  <c r="O5" i="4"/>
  <c r="O6" i="4"/>
  <c r="C6" i="4" s="1"/>
  <c r="O7" i="4"/>
  <c r="O8" i="4"/>
  <c r="C8" i="4" s="1"/>
  <c r="O9" i="4"/>
  <c r="C9" i="4" s="1"/>
  <c r="O10" i="4"/>
  <c r="O11" i="4"/>
  <c r="C11" i="4" s="1"/>
  <c r="O12" i="4"/>
  <c r="O13" i="4"/>
  <c r="O14" i="4"/>
  <c r="O15" i="4"/>
  <c r="O16" i="4"/>
  <c r="O17" i="4"/>
  <c r="O18" i="4"/>
  <c r="C18" i="4" s="1"/>
  <c r="O19" i="4"/>
  <c r="C19" i="4" s="1"/>
  <c r="O20" i="4"/>
  <c r="O21" i="4"/>
  <c r="O22" i="4"/>
  <c r="C22" i="4" s="1"/>
  <c r="J3" i="4"/>
  <c r="J4" i="4"/>
  <c r="C4" i="4" s="1"/>
  <c r="J5" i="4"/>
  <c r="C5" i="4" s="1"/>
  <c r="J6" i="4"/>
  <c r="J7" i="4"/>
  <c r="C7" i="4" s="1"/>
  <c r="J8" i="4"/>
  <c r="J9" i="4"/>
  <c r="J10" i="4"/>
  <c r="C10" i="4" s="1"/>
  <c r="J11" i="4"/>
  <c r="J12" i="4"/>
  <c r="C12" i="4" s="1"/>
  <c r="J13" i="4"/>
  <c r="C13" i="4" s="1"/>
  <c r="J14" i="4"/>
  <c r="C14" i="4" s="1"/>
  <c r="J15" i="4"/>
  <c r="C15" i="4" s="1"/>
  <c r="J16" i="4"/>
  <c r="C16" i="4" s="1"/>
  <c r="J17" i="4"/>
  <c r="C17" i="4" s="1"/>
  <c r="J18" i="4"/>
  <c r="J19" i="4"/>
  <c r="J20" i="4"/>
  <c r="C20" i="4" s="1"/>
  <c r="J21" i="4"/>
  <c r="C21" i="4" s="1"/>
  <c r="J22" i="4"/>
  <c r="J2" i="4"/>
  <c r="C2" i="4" s="1"/>
  <c r="G26" i="4"/>
  <c r="G27" i="4"/>
  <c r="G28" i="4"/>
  <c r="G29" i="4"/>
  <c r="G30" i="4"/>
  <c r="G31" i="4"/>
  <c r="G25" i="4"/>
  <c r="H25" i="4"/>
  <c r="H26" i="4"/>
  <c r="H27" i="4"/>
  <c r="H28" i="4"/>
  <c r="H29" i="4"/>
  <c r="H30" i="4"/>
  <c r="H31" i="4"/>
  <c r="B24" i="3"/>
  <c r="B25" i="3"/>
  <c r="B25" i="4"/>
  <c r="B24" i="4"/>
  <c r="N3" i="4" a="1"/>
  <c r="N3" i="4" s="1"/>
  <c r="N4" i="4" a="1"/>
  <c r="N4" i="4" s="1"/>
  <c r="N5" i="4" a="1"/>
  <c r="N5" i="4" s="1"/>
  <c r="N6" i="4" a="1"/>
  <c r="N6" i="4"/>
  <c r="N7" i="4" a="1"/>
  <c r="N7" i="4"/>
  <c r="N8" i="4" a="1"/>
  <c r="N8" i="4"/>
  <c r="N9" i="4" a="1"/>
  <c r="N9" i="4"/>
  <c r="N10" i="4" a="1"/>
  <c r="N10" i="4"/>
  <c r="N11" i="4" a="1"/>
  <c r="N11" i="4" s="1"/>
  <c r="N12" i="4" a="1"/>
  <c r="N12" i="4" s="1"/>
  <c r="N13" i="4" a="1"/>
  <c r="N13" i="4" s="1"/>
  <c r="N14" i="4" a="1"/>
  <c r="N14" i="4"/>
  <c r="N15" i="4" a="1"/>
  <c r="N15" i="4"/>
  <c r="N16" i="4" a="1"/>
  <c r="N16" i="4"/>
  <c r="N17" i="4" a="1"/>
  <c r="N17" i="4"/>
  <c r="N18" i="4" a="1"/>
  <c r="N18" i="4" s="1"/>
  <c r="N19" i="4" a="1"/>
  <c r="N19" i="4" s="1"/>
  <c r="N20" i="4" a="1"/>
  <c r="N20" i="4" s="1"/>
  <c r="N21" i="4" a="1"/>
  <c r="N21" i="4" s="1"/>
  <c r="N22" i="4" a="1"/>
  <c r="N22" i="4"/>
  <c r="N2" i="4" a="1"/>
  <c r="N2" i="4" s="1"/>
  <c r="CZ22" i="4" a="1"/>
  <c r="CZ22" i="4" s="1"/>
  <c r="CZ21" i="4" a="1"/>
  <c r="CZ21" i="4"/>
  <c r="CZ20" i="4" a="1"/>
  <c r="CZ20" i="4"/>
  <c r="CZ19" i="4" a="1"/>
  <c r="CZ19" i="4"/>
  <c r="CZ18" i="4" a="1"/>
  <c r="CZ18" i="4"/>
  <c r="CZ17" i="4" a="1"/>
  <c r="CZ17" i="4"/>
  <c r="CZ16" i="4" a="1"/>
  <c r="CZ16" i="4"/>
  <c r="CZ15" i="4" a="1"/>
  <c r="CZ15" i="4"/>
  <c r="CZ14" i="4" a="1"/>
  <c r="CZ14" i="4" s="1"/>
  <c r="CZ13" i="4" a="1"/>
  <c r="CZ13" i="4"/>
  <c r="CZ12" i="4" a="1"/>
  <c r="CZ12" i="4"/>
  <c r="CZ11" i="4" a="1"/>
  <c r="CZ11" i="4"/>
  <c r="CZ10" i="4" a="1"/>
  <c r="CZ10" i="4"/>
  <c r="CZ9" i="4" a="1"/>
  <c r="CZ9" i="4"/>
  <c r="CZ8" i="4" a="1"/>
  <c r="CZ8" i="4"/>
  <c r="CZ7" i="4" a="1"/>
  <c r="CZ7" i="4"/>
  <c r="CZ6" i="4" a="1"/>
  <c r="CZ6" i="4" s="1"/>
  <c r="CZ5" i="4" a="1"/>
  <c r="CZ5" i="4"/>
  <c r="CZ4" i="4" a="1"/>
  <c r="CZ4" i="4" s="1"/>
  <c r="CZ3" i="4" a="1"/>
  <c r="CZ3" i="4"/>
  <c r="CZ2" i="4" a="1"/>
  <c r="CZ2" i="4"/>
  <c r="CU22" i="4" a="1"/>
  <c r="CU22" i="4"/>
  <c r="CU21" i="4" a="1"/>
  <c r="CU21" i="4"/>
  <c r="CU20" i="4" a="1"/>
  <c r="CU20" i="4" s="1"/>
  <c r="CU19" i="4" a="1"/>
  <c r="CU19" i="4"/>
  <c r="CU18" i="4" a="1"/>
  <c r="CU18" i="4"/>
  <c r="CU17" i="4" a="1"/>
  <c r="CU17" i="4"/>
  <c r="CU16" i="4" a="1"/>
  <c r="CU16" i="4"/>
  <c r="CU15" i="4" a="1"/>
  <c r="CU15" i="4"/>
  <c r="CU14" i="4" a="1"/>
  <c r="CU14" i="4"/>
  <c r="CU13" i="4" a="1"/>
  <c r="CU13" i="4"/>
  <c r="CU12" i="4" a="1"/>
  <c r="CU12" i="4" s="1"/>
  <c r="CU11" i="4" a="1"/>
  <c r="CU11" i="4"/>
  <c r="CU10" i="4" a="1"/>
  <c r="CU10" i="4"/>
  <c r="CU9" i="4" a="1"/>
  <c r="CU9" i="4"/>
  <c r="CU8" i="4" a="1"/>
  <c r="CU8" i="4"/>
  <c r="CU7" i="4" a="1"/>
  <c r="CU7" i="4"/>
  <c r="CU6" i="4" a="1"/>
  <c r="CU6" i="4"/>
  <c r="CU5" i="4" a="1"/>
  <c r="CU5" i="4"/>
  <c r="CU4" i="4" a="1"/>
  <c r="CU4" i="4" s="1"/>
  <c r="CU3" i="4" a="1"/>
  <c r="CU3" i="4"/>
  <c r="CU2" i="4" a="1"/>
  <c r="CU2" i="4"/>
  <c r="CP22" i="4" a="1"/>
  <c r="CP22" i="4" s="1"/>
  <c r="CP21" i="4" a="1"/>
  <c r="CP21" i="4"/>
  <c r="CP20" i="4" a="1"/>
  <c r="CP20" i="4"/>
  <c r="CP19" i="4" a="1"/>
  <c r="CP19" i="4"/>
  <c r="CP18" i="4" a="1"/>
  <c r="CP18" i="4"/>
  <c r="CP17" i="4" a="1"/>
  <c r="CP17" i="4"/>
  <c r="CP16" i="4" a="1"/>
  <c r="CP16" i="4"/>
  <c r="CP15" i="4" a="1"/>
  <c r="CP15" i="4"/>
  <c r="CP14" i="4" a="1"/>
  <c r="CP14" i="4" s="1"/>
  <c r="CP13" i="4" a="1"/>
  <c r="CP13" i="4"/>
  <c r="CP12" i="4" a="1"/>
  <c r="CP12" i="4"/>
  <c r="CP11" i="4" a="1"/>
  <c r="CP11" i="4"/>
  <c r="CP10" i="4" a="1"/>
  <c r="CP10" i="4"/>
  <c r="CP9" i="4" a="1"/>
  <c r="CP9" i="4"/>
  <c r="CP8" i="4" a="1"/>
  <c r="CP8" i="4"/>
  <c r="CP7" i="4" a="1"/>
  <c r="CP7" i="4"/>
  <c r="CP6" i="4" a="1"/>
  <c r="CP6" i="4" s="1"/>
  <c r="CP5" i="4" a="1"/>
  <c r="CP5" i="4"/>
  <c r="CP4" i="4" a="1"/>
  <c r="CP4" i="4"/>
  <c r="CP3" i="4" a="1"/>
  <c r="CP3" i="4"/>
  <c r="CP2" i="4" a="1"/>
  <c r="CP2" i="4"/>
  <c r="CK22" i="4" a="1"/>
  <c r="CK22" i="4" s="1"/>
  <c r="CK21" i="4" a="1"/>
  <c r="CK21" i="4" s="1"/>
  <c r="CK20" i="4" a="1"/>
  <c r="CK20" i="4"/>
  <c r="CK19" i="4" a="1"/>
  <c r="CK19" i="4"/>
  <c r="CK18" i="4" a="1"/>
  <c r="CK18" i="4"/>
  <c r="CK17" i="4" a="1"/>
  <c r="CK17" i="4"/>
  <c r="CK16" i="4" a="1"/>
  <c r="CK16" i="4"/>
  <c r="CK15" i="4" a="1"/>
  <c r="CK15" i="4"/>
  <c r="CK14" i="4" a="1"/>
  <c r="CK14" i="4" s="1"/>
  <c r="CK13" i="4" a="1"/>
  <c r="CK13" i="4" s="1"/>
  <c r="CK12" i="4" a="1"/>
  <c r="CK12" i="4"/>
  <c r="CK11" i="4" a="1"/>
  <c r="CK11" i="4"/>
  <c r="CK10" i="4" a="1"/>
  <c r="CK10" i="4"/>
  <c r="CK9" i="4" a="1"/>
  <c r="CK9" i="4"/>
  <c r="CK8" i="4" a="1"/>
  <c r="CK8" i="4"/>
  <c r="CK7" i="4" a="1"/>
  <c r="CK7" i="4"/>
  <c r="CK6" i="4" a="1"/>
  <c r="CK6" i="4" s="1"/>
  <c r="CK5" i="4" a="1"/>
  <c r="CK5" i="4" s="1"/>
  <c r="CK4" i="4" a="1"/>
  <c r="CK4" i="4"/>
  <c r="CK3" i="4" a="1"/>
  <c r="CK3" i="4"/>
  <c r="CK2" i="4" a="1"/>
  <c r="CK2" i="4"/>
  <c r="CF22" i="4" a="1"/>
  <c r="CF22" i="4"/>
  <c r="CF21" i="4" a="1"/>
  <c r="CF21" i="4"/>
  <c r="CF20" i="4" a="1"/>
  <c r="CF20" i="4"/>
  <c r="CF19" i="4" a="1"/>
  <c r="CF19" i="4"/>
  <c r="CF18" i="4" a="1"/>
  <c r="CF18" i="4"/>
  <c r="CF17" i="4" a="1"/>
  <c r="CF17" i="4"/>
  <c r="CF16" i="4" a="1"/>
  <c r="CF16" i="4"/>
  <c r="CF15" i="4" a="1"/>
  <c r="CF15" i="4"/>
  <c r="CF14" i="4" a="1"/>
  <c r="CF14" i="4"/>
  <c r="CF13" i="4" a="1"/>
  <c r="CF13" i="4"/>
  <c r="CF12" i="4" a="1"/>
  <c r="CF12" i="4"/>
  <c r="CF11" i="4" a="1"/>
  <c r="CF11" i="4"/>
  <c r="CF10" i="4" a="1"/>
  <c r="CF10" i="4"/>
  <c r="CF9" i="4" a="1"/>
  <c r="CF9" i="4"/>
  <c r="CF8" i="4" a="1"/>
  <c r="CF8" i="4"/>
  <c r="CF7" i="4" a="1"/>
  <c r="CF7" i="4"/>
  <c r="CF6" i="4" a="1"/>
  <c r="CF6" i="4"/>
  <c r="CF5" i="4" a="1"/>
  <c r="CF5" i="4"/>
  <c r="CF4" i="4" a="1"/>
  <c r="CF4" i="4"/>
  <c r="CF3" i="4" a="1"/>
  <c r="CF3" i="4"/>
  <c r="CF2" i="4" a="1"/>
  <c r="CF2" i="4"/>
  <c r="CA22" i="4" a="1"/>
  <c r="CA22" i="4" s="1"/>
  <c r="CA21" i="4" a="1"/>
  <c r="CA21" i="4" s="1"/>
  <c r="CA20" i="4" a="1"/>
  <c r="CA20" i="4"/>
  <c r="CA19" i="4" a="1"/>
  <c r="CA19" i="4"/>
  <c r="CA18" i="4" a="1"/>
  <c r="CA18" i="4"/>
  <c r="CA17" i="4" a="1"/>
  <c r="CA17" i="4"/>
  <c r="CA16" i="4" a="1"/>
  <c r="CA16" i="4"/>
  <c r="CA15" i="4" a="1"/>
  <c r="CA15" i="4"/>
  <c r="CA14" i="4" a="1"/>
  <c r="CA14" i="4" s="1"/>
  <c r="CA13" i="4" a="1"/>
  <c r="CA13" i="4" s="1"/>
  <c r="CA12" i="4" a="1"/>
  <c r="CA12" i="4"/>
  <c r="CA11" i="4" a="1"/>
  <c r="CA11" i="4"/>
  <c r="CA10" i="4" a="1"/>
  <c r="CA10" i="4"/>
  <c r="CA9" i="4" a="1"/>
  <c r="CA9" i="4"/>
  <c r="CA8" i="4" a="1"/>
  <c r="CA8" i="4"/>
  <c r="CA7" i="4" a="1"/>
  <c r="CA7" i="4"/>
  <c r="CA6" i="4" a="1"/>
  <c r="CA6" i="4" s="1"/>
  <c r="CA5" i="4" a="1"/>
  <c r="CA5" i="4" s="1"/>
  <c r="CA4" i="4" a="1"/>
  <c r="CA4" i="4"/>
  <c r="CA3" i="4" a="1"/>
  <c r="CA3" i="4"/>
  <c r="CA2" i="4" a="1"/>
  <c r="CA2" i="4"/>
  <c r="BV22" i="4" a="1"/>
  <c r="BV22" i="4" s="1"/>
  <c r="BV21" i="4" a="1"/>
  <c r="BV21" i="4" s="1"/>
  <c r="BV20" i="4" a="1"/>
  <c r="BV20" i="4" s="1"/>
  <c r="BV19" i="4" a="1"/>
  <c r="BV19" i="4"/>
  <c r="BV18" i="4" a="1"/>
  <c r="BV18" i="4"/>
  <c r="BV17" i="4" a="1"/>
  <c r="BV17" i="4"/>
  <c r="BV16" i="4" a="1"/>
  <c r="BV16" i="4"/>
  <c r="BV15" i="4" a="1"/>
  <c r="BV15" i="4"/>
  <c r="BV14" i="4" a="1"/>
  <c r="BV14" i="4" s="1"/>
  <c r="BV13" i="4" a="1"/>
  <c r="BV13" i="4" s="1"/>
  <c r="BV12" i="4" a="1"/>
  <c r="BV12" i="4" s="1"/>
  <c r="BV11" i="4" a="1"/>
  <c r="BV11" i="4"/>
  <c r="BV10" i="4" a="1"/>
  <c r="BV10" i="4"/>
  <c r="BV9" i="4" a="1"/>
  <c r="BV9" i="4"/>
  <c r="BV8" i="4" a="1"/>
  <c r="BV8" i="4"/>
  <c r="BV7" i="4" a="1"/>
  <c r="BV7" i="4"/>
  <c r="BV6" i="4" a="1"/>
  <c r="BV6" i="4" s="1"/>
  <c r="BV5" i="4" a="1"/>
  <c r="BV5" i="4" s="1"/>
  <c r="BV4" i="4" a="1"/>
  <c r="BV4" i="4" s="1"/>
  <c r="BV3" i="4" a="1"/>
  <c r="BV3" i="4"/>
  <c r="BV2" i="4" a="1"/>
  <c r="BV2" i="4"/>
  <c r="BQ22" i="4" a="1"/>
  <c r="BQ22" i="4" s="1"/>
  <c r="BQ21" i="4" a="1"/>
  <c r="BQ21" i="4"/>
  <c r="BQ20" i="4" a="1"/>
  <c r="BQ20" i="4"/>
  <c r="BQ19" i="4" a="1"/>
  <c r="BQ19" i="4"/>
  <c r="BQ18" i="4" a="1"/>
  <c r="BQ18" i="4"/>
  <c r="BQ17" i="4" a="1"/>
  <c r="BQ17" i="4"/>
  <c r="BQ16" i="4" a="1"/>
  <c r="BQ16" i="4"/>
  <c r="BQ15" i="4" a="1"/>
  <c r="BQ15" i="4"/>
  <c r="BQ14" i="4" a="1"/>
  <c r="BQ14" i="4" s="1"/>
  <c r="BQ13" i="4" a="1"/>
  <c r="BQ13" i="4"/>
  <c r="BQ12" i="4" a="1"/>
  <c r="BQ12" i="4"/>
  <c r="BQ11" i="4" a="1"/>
  <c r="BQ11" i="4"/>
  <c r="BQ10" i="4" a="1"/>
  <c r="BQ10" i="4"/>
  <c r="BQ9" i="4" a="1"/>
  <c r="BQ9" i="4"/>
  <c r="BQ8" i="4" a="1"/>
  <c r="BQ8" i="4"/>
  <c r="BQ7" i="4" a="1"/>
  <c r="BQ7" i="4"/>
  <c r="BQ6" i="4" a="1"/>
  <c r="BQ6" i="4" s="1"/>
  <c r="BQ5" i="4" a="1"/>
  <c r="BQ5" i="4"/>
  <c r="BQ4" i="4" a="1"/>
  <c r="BQ4" i="4"/>
  <c r="BQ3" i="4" a="1"/>
  <c r="BQ3" i="4"/>
  <c r="BQ2" i="4" a="1"/>
  <c r="BQ2" i="4"/>
  <c r="BL22" i="4" a="1"/>
  <c r="BL22" i="4" s="1"/>
  <c r="BL21" i="4" a="1"/>
  <c r="BL21" i="4" s="1"/>
  <c r="BL20" i="4" a="1"/>
  <c r="BL20" i="4" s="1"/>
  <c r="BL19" i="4" a="1"/>
  <c r="BL19" i="4"/>
  <c r="BL18" i="4" a="1"/>
  <c r="BL18" i="4"/>
  <c r="BL17" i="4" a="1"/>
  <c r="BL17" i="4"/>
  <c r="BL16" i="4" a="1"/>
  <c r="BL16" i="4"/>
  <c r="BL15" i="4" a="1"/>
  <c r="BL15" i="4"/>
  <c r="BL14" i="4" a="1"/>
  <c r="BL14" i="4" s="1"/>
  <c r="BL13" i="4" a="1"/>
  <c r="BL13" i="4" s="1"/>
  <c r="BL12" i="4" a="1"/>
  <c r="BL12" i="4" s="1"/>
  <c r="BL11" i="4" a="1"/>
  <c r="BL11" i="4"/>
  <c r="BL10" i="4" a="1"/>
  <c r="BL10" i="4"/>
  <c r="BL9" i="4" a="1"/>
  <c r="BL9" i="4"/>
  <c r="BL8" i="4" a="1"/>
  <c r="BL8" i="4"/>
  <c r="BL7" i="4" a="1"/>
  <c r="BL7" i="4"/>
  <c r="BL6" i="4" a="1"/>
  <c r="BL6" i="4" s="1"/>
  <c r="BL5" i="4" a="1"/>
  <c r="BL5" i="4" s="1"/>
  <c r="BL4" i="4" a="1"/>
  <c r="BL4" i="4" s="1"/>
  <c r="BL3" i="4" a="1"/>
  <c r="BL3" i="4"/>
  <c r="BL2" i="4" a="1"/>
  <c r="BL2" i="4"/>
  <c r="BG22" i="4" a="1"/>
  <c r="BG22" i="4" s="1"/>
  <c r="BG21" i="4" a="1"/>
  <c r="BG21" i="4" s="1"/>
  <c r="BG20" i="4" a="1"/>
  <c r="BG20" i="4"/>
  <c r="BG19" i="4" a="1"/>
  <c r="BG19" i="4"/>
  <c r="BG18" i="4" a="1"/>
  <c r="BG18" i="4"/>
  <c r="BG17" i="4" a="1"/>
  <c r="BG17" i="4"/>
  <c r="BG16" i="4" a="1"/>
  <c r="BG16" i="4"/>
  <c r="BG15" i="4" a="1"/>
  <c r="BG15" i="4"/>
  <c r="BG14" i="4" a="1"/>
  <c r="BG14" i="4" s="1"/>
  <c r="BG13" i="4" a="1"/>
  <c r="BG13" i="4" s="1"/>
  <c r="BG12" i="4" a="1"/>
  <c r="BG12" i="4"/>
  <c r="BG11" i="4" a="1"/>
  <c r="BG11" i="4"/>
  <c r="BG10" i="4" a="1"/>
  <c r="BG10" i="4"/>
  <c r="BG9" i="4" a="1"/>
  <c r="BG9" i="4"/>
  <c r="BG8" i="4" a="1"/>
  <c r="BG8" i="4"/>
  <c r="BG7" i="4" a="1"/>
  <c r="BG7" i="4"/>
  <c r="BG6" i="4" a="1"/>
  <c r="BG6" i="4" s="1"/>
  <c r="BG5" i="4" a="1"/>
  <c r="BG5" i="4" s="1"/>
  <c r="BG4" i="4" a="1"/>
  <c r="BG4" i="4"/>
  <c r="BG3" i="4" a="1"/>
  <c r="BG3" i="4"/>
  <c r="BG2" i="4" a="1"/>
  <c r="BG2" i="4"/>
  <c r="BB22" i="4" a="1"/>
  <c r="BB22" i="4" s="1"/>
  <c r="BB21" i="4" a="1"/>
  <c r="BB21" i="4" s="1"/>
  <c r="BB20" i="4" a="1"/>
  <c r="BB20" i="4"/>
  <c r="BB19" i="4" a="1"/>
  <c r="BB19" i="4"/>
  <c r="BB18" i="4" a="1"/>
  <c r="BB18" i="4"/>
  <c r="BB17" i="4" a="1"/>
  <c r="BB17" i="4"/>
  <c r="BB16" i="4" a="1"/>
  <c r="BB16" i="4"/>
  <c r="BB15" i="4" a="1"/>
  <c r="BB15" i="4"/>
  <c r="BB14" i="4" a="1"/>
  <c r="BB14" i="4" s="1"/>
  <c r="BB13" i="4" a="1"/>
  <c r="BB13" i="4" s="1"/>
  <c r="BB12" i="4" a="1"/>
  <c r="BB12" i="4"/>
  <c r="BB11" i="4" a="1"/>
  <c r="BB11" i="4"/>
  <c r="BB10" i="4" a="1"/>
  <c r="BB10" i="4"/>
  <c r="BB9" i="4" a="1"/>
  <c r="BB9" i="4"/>
  <c r="BB8" i="4" a="1"/>
  <c r="BB8" i="4"/>
  <c r="BB7" i="4" a="1"/>
  <c r="BB7" i="4"/>
  <c r="BB6" i="4" a="1"/>
  <c r="BB6" i="4" s="1"/>
  <c r="BB5" i="4" a="1"/>
  <c r="BB5" i="4" s="1"/>
  <c r="BB4" i="4" a="1"/>
  <c r="BB4" i="4"/>
  <c r="BB3" i="4" a="1"/>
  <c r="BB3" i="4"/>
  <c r="BB2" i="4" a="1"/>
  <c r="BB2" i="4"/>
  <c r="AW22" i="4" a="1"/>
  <c r="AW22" i="4"/>
  <c r="AW21" i="4" a="1"/>
  <c r="AW21" i="4"/>
  <c r="AW20" i="4" a="1"/>
  <c r="AW20" i="4"/>
  <c r="AW19" i="4" a="1"/>
  <c r="AW19" i="4" s="1"/>
  <c r="AW18" i="4" a="1"/>
  <c r="AW18" i="4" s="1"/>
  <c r="AW17" i="4" a="1"/>
  <c r="AW17" i="4"/>
  <c r="AW16" i="4" a="1"/>
  <c r="AW16" i="4"/>
  <c r="AW15" i="4" a="1"/>
  <c r="AW15" i="4"/>
  <c r="AW14" i="4" a="1"/>
  <c r="AW14" i="4"/>
  <c r="AW13" i="4" a="1"/>
  <c r="AW13" i="4"/>
  <c r="AW12" i="4" a="1"/>
  <c r="AW12" i="4"/>
  <c r="AW11" i="4" a="1"/>
  <c r="AW11" i="4" s="1"/>
  <c r="AW10" i="4" a="1"/>
  <c r="AW10" i="4" s="1"/>
  <c r="AW9" i="4" a="1"/>
  <c r="AW9" i="4"/>
  <c r="AW8" i="4" a="1"/>
  <c r="AW8" i="4"/>
  <c r="AW7" i="4" a="1"/>
  <c r="AW7" i="4"/>
  <c r="AW6" i="4" a="1"/>
  <c r="AW6" i="4"/>
  <c r="AW5" i="4" a="1"/>
  <c r="AW5" i="4"/>
  <c r="AW4" i="4" a="1"/>
  <c r="AW4" i="4"/>
  <c r="AW3" i="4" a="1"/>
  <c r="AW3" i="4" s="1"/>
  <c r="AW2" i="4" a="1"/>
  <c r="AW2" i="4" s="1"/>
  <c r="AR22" i="4" a="1"/>
  <c r="AR22" i="4"/>
  <c r="AR21" i="4" a="1"/>
  <c r="AR21" i="4"/>
  <c r="AR20" i="4" a="1"/>
  <c r="AR20" i="4"/>
  <c r="AR19" i="4" a="1"/>
  <c r="AR19" i="4"/>
  <c r="AR18" i="4" a="1"/>
  <c r="AR18" i="4"/>
  <c r="AR17" i="4" a="1"/>
  <c r="AR17" i="4"/>
  <c r="AR16" i="4" a="1"/>
  <c r="AR16" i="4" s="1"/>
  <c r="AR15" i="4" a="1"/>
  <c r="AR15" i="4" s="1"/>
  <c r="AR14" i="4" a="1"/>
  <c r="AR14" i="4"/>
  <c r="AR13" i="4" a="1"/>
  <c r="AR13" i="4"/>
  <c r="AR12" i="4" a="1"/>
  <c r="AR12" i="4"/>
  <c r="AR11" i="4" a="1"/>
  <c r="AR11" i="4"/>
  <c r="AR10" i="4" a="1"/>
  <c r="AR10" i="4"/>
  <c r="AR9" i="4" a="1"/>
  <c r="AR9" i="4"/>
  <c r="AR8" i="4" a="1"/>
  <c r="AR8" i="4" s="1"/>
  <c r="AR7" i="4" a="1"/>
  <c r="AR7" i="4" s="1"/>
  <c r="AR6" i="4" a="1"/>
  <c r="AR6" i="4"/>
  <c r="AR5" i="4" a="1"/>
  <c r="AR5" i="4"/>
  <c r="AR4" i="4" a="1"/>
  <c r="AR4" i="4"/>
  <c r="AR3" i="4" a="1"/>
  <c r="AR3" i="4"/>
  <c r="AR2" i="4" a="1"/>
  <c r="AR2" i="4"/>
  <c r="AM22" i="4" a="1"/>
  <c r="AM22" i="4"/>
  <c r="AM21" i="4" a="1"/>
  <c r="AM21" i="4" s="1"/>
  <c r="AM20" i="4" a="1"/>
  <c r="AM20" i="4" s="1"/>
  <c r="AM19" i="4" a="1"/>
  <c r="AM19" i="4"/>
  <c r="AM18" i="4" a="1"/>
  <c r="AM18" i="4"/>
  <c r="AM17" i="4" a="1"/>
  <c r="AM17" i="4"/>
  <c r="AM16" i="4" a="1"/>
  <c r="AM16" i="4"/>
  <c r="AM15" i="4" a="1"/>
  <c r="AM15" i="4"/>
  <c r="AM14" i="4" a="1"/>
  <c r="AM14" i="4"/>
  <c r="AM13" i="4" a="1"/>
  <c r="AM13" i="4" s="1"/>
  <c r="AM12" i="4" a="1"/>
  <c r="AM12" i="4" s="1"/>
  <c r="AM11" i="4" a="1"/>
  <c r="AM11" i="4"/>
  <c r="AM10" i="4" a="1"/>
  <c r="AM10" i="4"/>
  <c r="AM9" i="4" a="1"/>
  <c r="AM9" i="4"/>
  <c r="AM8" i="4" a="1"/>
  <c r="AM8" i="4"/>
  <c r="AM7" i="4" a="1"/>
  <c r="AM7" i="4"/>
  <c r="AM6" i="4" a="1"/>
  <c r="AM6" i="4"/>
  <c r="AM5" i="4" a="1"/>
  <c r="AM5" i="4" s="1"/>
  <c r="AM4" i="4" a="1"/>
  <c r="AM4" i="4" s="1"/>
  <c r="AM3" i="4" a="1"/>
  <c r="AM3" i="4"/>
  <c r="AM2" i="4" a="1"/>
  <c r="AM2" i="4"/>
  <c r="AH22" i="4" a="1"/>
  <c r="AH22" i="4"/>
  <c r="AH21" i="4" a="1"/>
  <c r="AH21" i="4"/>
  <c r="AH20" i="4" a="1"/>
  <c r="AH20" i="4"/>
  <c r="AH19" i="4" a="1"/>
  <c r="AH19" i="4"/>
  <c r="AH18" i="4" a="1"/>
  <c r="AH18" i="4" s="1"/>
  <c r="AH17" i="4" a="1"/>
  <c r="AH17" i="4" s="1"/>
  <c r="AH16" i="4" a="1"/>
  <c r="AH16" i="4"/>
  <c r="AH15" i="4" a="1"/>
  <c r="AH15" i="4"/>
  <c r="AH14" i="4" a="1"/>
  <c r="AH14" i="4"/>
  <c r="AH13" i="4" a="1"/>
  <c r="AH13" i="4"/>
  <c r="AH12" i="4" a="1"/>
  <c r="AH12" i="4"/>
  <c r="AH11" i="4" a="1"/>
  <c r="AH11" i="4"/>
  <c r="AH10" i="4" a="1"/>
  <c r="AH10" i="4" s="1"/>
  <c r="AH9" i="4" a="1"/>
  <c r="AH9" i="4" s="1"/>
  <c r="AH8" i="4" a="1"/>
  <c r="AH8" i="4"/>
  <c r="AH7" i="4" a="1"/>
  <c r="AH7" i="4"/>
  <c r="AH6" i="4" a="1"/>
  <c r="AH6" i="4"/>
  <c r="AH5" i="4" a="1"/>
  <c r="AH5" i="4"/>
  <c r="AH4" i="4" a="1"/>
  <c r="AH4" i="4"/>
  <c r="AH3" i="4" a="1"/>
  <c r="AH3" i="4"/>
  <c r="AH2" i="4" a="1"/>
  <c r="AH2" i="4" s="1"/>
  <c r="AC22" i="4" a="1"/>
  <c r="AC22" i="4" s="1"/>
  <c r="AC21" i="4" a="1"/>
  <c r="AC21" i="4"/>
  <c r="AC20" i="4" a="1"/>
  <c r="AC20" i="4"/>
  <c r="AC19" i="4" a="1"/>
  <c r="AC19" i="4"/>
  <c r="AC18" i="4" a="1"/>
  <c r="AC18" i="4"/>
  <c r="AC17" i="4" a="1"/>
  <c r="AC17" i="4"/>
  <c r="AC16" i="4" a="1"/>
  <c r="AC16" i="4"/>
  <c r="AC15" i="4" a="1"/>
  <c r="AC15" i="4" s="1"/>
  <c r="AC14" i="4" a="1"/>
  <c r="AC14" i="4" s="1"/>
  <c r="AC13" i="4" a="1"/>
  <c r="AC13" i="4"/>
  <c r="AC12" i="4" a="1"/>
  <c r="AC12" i="4"/>
  <c r="AC11" i="4" a="1"/>
  <c r="AC11" i="4"/>
  <c r="AC10" i="4" a="1"/>
  <c r="AC10" i="4"/>
  <c r="AC9" i="4" a="1"/>
  <c r="AC9" i="4"/>
  <c r="AC8" i="4" a="1"/>
  <c r="AC8" i="4"/>
  <c r="AC7" i="4" a="1"/>
  <c r="AC7" i="4" s="1"/>
  <c r="AC6" i="4" a="1"/>
  <c r="AC6" i="4" s="1"/>
  <c r="AC5" i="4" a="1"/>
  <c r="AC5" i="4"/>
  <c r="AC4" i="4" a="1"/>
  <c r="AC4" i="4"/>
  <c r="AC3" i="4" a="1"/>
  <c r="AC3" i="4"/>
  <c r="AC2" i="4" a="1"/>
  <c r="AC2" i="4"/>
  <c r="X22" i="4" a="1"/>
  <c r="X22" i="4"/>
  <c r="X21" i="4" a="1"/>
  <c r="X21" i="4"/>
  <c r="X20" i="4" a="1"/>
  <c r="X20" i="4" s="1"/>
  <c r="X19" i="4" a="1"/>
  <c r="X19" i="4" s="1"/>
  <c r="X18" i="4" a="1"/>
  <c r="X18" i="4"/>
  <c r="X17" i="4" a="1"/>
  <c r="X17" i="4"/>
  <c r="X16" i="4" a="1"/>
  <c r="X16" i="4"/>
  <c r="X15" i="4" a="1"/>
  <c r="X15" i="4"/>
  <c r="X14" i="4" a="1"/>
  <c r="X14" i="4"/>
  <c r="X13" i="4" a="1"/>
  <c r="X13" i="4"/>
  <c r="X12" i="4" a="1"/>
  <c r="X12" i="4" s="1"/>
  <c r="X11" i="4" a="1"/>
  <c r="X11" i="4" s="1"/>
  <c r="X10" i="4" a="1"/>
  <c r="X10" i="4"/>
  <c r="X9" i="4" a="1"/>
  <c r="X9" i="4"/>
  <c r="X8" i="4" a="1"/>
  <c r="X8" i="4"/>
  <c r="X7" i="4" a="1"/>
  <c r="X7" i="4"/>
  <c r="X6" i="4" a="1"/>
  <c r="X6" i="4"/>
  <c r="X5" i="4" a="1"/>
  <c r="X5" i="4"/>
  <c r="X4" i="4" a="1"/>
  <c r="X4" i="4" s="1"/>
  <c r="X3" i="4" a="1"/>
  <c r="X3" i="4" s="1"/>
  <c r="X2" i="4" a="1"/>
  <c r="X2" i="4"/>
  <c r="S22" i="4" a="1"/>
  <c r="S22" i="4"/>
  <c r="S21" i="4" a="1"/>
  <c r="S21" i="4"/>
  <c r="S20" i="4" a="1"/>
  <c r="S20" i="4"/>
  <c r="S19" i="4" a="1"/>
  <c r="S19" i="4"/>
  <c r="S18" i="4" a="1"/>
  <c r="S18" i="4"/>
  <c r="S17" i="4" a="1"/>
  <c r="S17" i="4" s="1"/>
  <c r="S16" i="4" a="1"/>
  <c r="S16" i="4" s="1"/>
  <c r="S15" i="4" a="1"/>
  <c r="S15" i="4"/>
  <c r="S14" i="4" a="1"/>
  <c r="S14" i="4"/>
  <c r="S13" i="4" a="1"/>
  <c r="S13" i="4"/>
  <c r="S12" i="4" a="1"/>
  <c r="S12" i="4"/>
  <c r="S11" i="4" a="1"/>
  <c r="S11" i="4"/>
  <c r="S10" i="4" a="1"/>
  <c r="S10" i="4"/>
  <c r="S9" i="4" a="1"/>
  <c r="S9" i="4" s="1"/>
  <c r="S8" i="4" a="1"/>
  <c r="S8" i="4" s="1"/>
  <c r="S7" i="4" a="1"/>
  <c r="S7" i="4"/>
  <c r="S6" i="4" a="1"/>
  <c r="S6" i="4"/>
  <c r="S5" i="4" a="1"/>
  <c r="S5" i="4"/>
  <c r="S4" i="4" a="1"/>
  <c r="S4" i="4"/>
  <c r="S3" i="4" a="1"/>
  <c r="S3" i="4"/>
  <c r="S2" i="4" a="1"/>
  <c r="S2" i="4"/>
  <c r="I22" i="4" a="1"/>
  <c r="I22" i="4"/>
  <c r="I21" i="4" a="1"/>
  <c r="I21" i="4"/>
  <c r="I20" i="4" a="1"/>
  <c r="I20" i="4"/>
  <c r="I19" i="4" a="1"/>
  <c r="I19" i="4"/>
  <c r="I18" i="4" a="1"/>
  <c r="I18" i="4" s="1"/>
  <c r="I17" i="4" a="1"/>
  <c r="I17" i="4" s="1"/>
  <c r="I16" i="4" a="1"/>
  <c r="I16" i="4"/>
  <c r="I15" i="4" a="1"/>
  <c r="I15" i="4"/>
  <c r="I14" i="4" a="1"/>
  <c r="I14" i="4"/>
  <c r="I13" i="4" a="1"/>
  <c r="I13" i="4"/>
  <c r="I12" i="4" a="1"/>
  <c r="I12" i="4"/>
  <c r="I11" i="4" a="1"/>
  <c r="I11" i="4"/>
  <c r="I10" i="4" a="1"/>
  <c r="I10" i="4" s="1"/>
  <c r="I9" i="4" a="1"/>
  <c r="I9" i="4" s="1"/>
  <c r="I8" i="4" a="1"/>
  <c r="I8" i="4"/>
  <c r="I7" i="4" a="1"/>
  <c r="I7" i="4"/>
  <c r="I6" i="4" a="1"/>
  <c r="I6" i="4"/>
  <c r="I5" i="4" a="1"/>
  <c r="I5" i="4"/>
  <c r="I4" i="4" a="1"/>
  <c r="I4" i="4"/>
  <c r="I3" i="4" a="1"/>
  <c r="I3" i="4"/>
  <c r="I2" i="4" a="1"/>
  <c r="I2" i="4" s="1"/>
  <c r="CZ22" i="3" a="1"/>
  <c r="CZ22" i="3" s="1"/>
  <c r="CZ21" i="3" a="1"/>
  <c r="CZ21" i="3"/>
  <c r="CZ20" i="3" a="1"/>
  <c r="CZ20" i="3"/>
  <c r="CZ19" i="3" a="1"/>
  <c r="CZ19" i="3"/>
  <c r="CZ18" i="3" a="1"/>
  <c r="CZ18" i="3"/>
  <c r="CZ17" i="3" a="1"/>
  <c r="CZ17" i="3"/>
  <c r="CZ16" i="3" a="1"/>
  <c r="CZ16" i="3"/>
  <c r="CZ15" i="3" a="1"/>
  <c r="CZ15" i="3"/>
  <c r="CZ14" i="3" a="1"/>
  <c r="CZ14" i="3" s="1"/>
  <c r="CZ13" i="3" a="1"/>
  <c r="CZ13" i="3"/>
  <c r="CZ12" i="3" a="1"/>
  <c r="CZ12" i="3"/>
  <c r="CZ11" i="3" a="1"/>
  <c r="CZ11" i="3"/>
  <c r="CZ10" i="3" a="1"/>
  <c r="CZ10" i="3"/>
  <c r="CZ9" i="3" a="1"/>
  <c r="CZ9" i="3"/>
  <c r="CZ8" i="3" a="1"/>
  <c r="CZ8" i="3"/>
  <c r="CZ7" i="3" a="1"/>
  <c r="CZ7" i="3"/>
  <c r="CZ6" i="3" a="1"/>
  <c r="CZ6" i="3" s="1"/>
  <c r="CZ5" i="3" a="1"/>
  <c r="CZ5" i="3"/>
  <c r="CZ4" i="3" a="1"/>
  <c r="CZ4" i="3"/>
  <c r="CZ3" i="3" a="1"/>
  <c r="CZ3" i="3"/>
  <c r="CZ2" i="3" a="1"/>
  <c r="CZ2" i="3"/>
  <c r="CU22" i="3" a="1"/>
  <c r="CU22" i="3" s="1"/>
  <c r="CU21" i="3" a="1"/>
  <c r="CU21" i="3" s="1"/>
  <c r="CU20" i="3" a="1"/>
  <c r="CU20" i="3"/>
  <c r="CU19" i="3" a="1"/>
  <c r="CU19" i="3"/>
  <c r="CU18" i="3" a="1"/>
  <c r="CU18" i="3"/>
  <c r="CU17" i="3" a="1"/>
  <c r="CU17" i="3"/>
  <c r="CU16" i="3" a="1"/>
  <c r="CU16" i="3"/>
  <c r="CU15" i="3" a="1"/>
  <c r="CU15" i="3"/>
  <c r="CU14" i="3" a="1"/>
  <c r="CU14" i="3" s="1"/>
  <c r="CU13" i="3" a="1"/>
  <c r="CU13" i="3" s="1"/>
  <c r="CU12" i="3" a="1"/>
  <c r="CU12" i="3"/>
  <c r="CU11" i="3" a="1"/>
  <c r="CU11" i="3"/>
  <c r="CU10" i="3" a="1"/>
  <c r="CU10" i="3"/>
  <c r="CU9" i="3" a="1"/>
  <c r="CU9" i="3"/>
  <c r="CU8" i="3" a="1"/>
  <c r="CU8" i="3"/>
  <c r="CU7" i="3" a="1"/>
  <c r="CU7" i="3"/>
  <c r="CU6" i="3" a="1"/>
  <c r="CU6" i="3" s="1"/>
  <c r="CU5" i="3" a="1"/>
  <c r="CU5" i="3" s="1"/>
  <c r="CU4" i="3" a="1"/>
  <c r="CU4" i="3"/>
  <c r="CU3" i="3" a="1"/>
  <c r="CU3" i="3" s="1"/>
  <c r="CU2" i="3" a="1"/>
  <c r="CU2" i="3"/>
  <c r="CP22" i="3" a="1"/>
  <c r="CP22" i="3"/>
  <c r="CP21" i="3" a="1"/>
  <c r="CP21" i="3"/>
  <c r="CP20" i="3" a="1"/>
  <c r="CP20" i="3"/>
  <c r="CP19" i="3" a="1"/>
  <c r="CP19" i="3"/>
  <c r="CP18" i="3" a="1"/>
  <c r="CP18" i="3"/>
  <c r="CP17" i="3" a="1"/>
  <c r="CP17" i="3"/>
  <c r="CP16" i="3" a="1"/>
  <c r="CP16" i="3"/>
  <c r="CP15" i="3" a="1"/>
  <c r="CP15" i="3"/>
  <c r="CP14" i="3" a="1"/>
  <c r="CP14" i="3"/>
  <c r="CP13" i="3" a="1"/>
  <c r="CP13" i="3"/>
  <c r="CP12" i="3" a="1"/>
  <c r="CP12" i="3"/>
  <c r="CP11" i="3" a="1"/>
  <c r="CP11" i="3"/>
  <c r="CP10" i="3" a="1"/>
  <c r="CP10" i="3"/>
  <c r="CP9" i="3" a="1"/>
  <c r="CP9" i="3"/>
  <c r="CP8" i="3" a="1"/>
  <c r="CP8" i="3"/>
  <c r="CP7" i="3" a="1"/>
  <c r="CP7" i="3"/>
  <c r="CP6" i="3" a="1"/>
  <c r="CP6" i="3"/>
  <c r="CP5" i="3" a="1"/>
  <c r="CP5" i="3"/>
  <c r="CP4" i="3" a="1"/>
  <c r="CP4" i="3"/>
  <c r="CP3" i="3" a="1"/>
  <c r="CP3" i="3"/>
  <c r="CP2" i="3" a="1"/>
  <c r="CP2" i="3"/>
  <c r="CK22" i="3" a="1"/>
  <c r="CK22" i="3"/>
  <c r="CK21" i="3" a="1"/>
  <c r="CK21" i="3"/>
  <c r="CK20" i="3" a="1"/>
  <c r="CK20" i="3"/>
  <c r="CK19" i="3" a="1"/>
  <c r="CK19" i="3"/>
  <c r="CK18" i="3" a="1"/>
  <c r="CK18" i="3"/>
  <c r="CK17" i="3" a="1"/>
  <c r="CK17" i="3"/>
  <c r="CK16" i="3" a="1"/>
  <c r="CK16" i="3"/>
  <c r="CK15" i="3" a="1"/>
  <c r="CK15" i="3"/>
  <c r="CK14" i="3" a="1"/>
  <c r="CK14" i="3"/>
  <c r="CK13" i="3" a="1"/>
  <c r="CK13" i="3"/>
  <c r="CK12" i="3" a="1"/>
  <c r="CK12" i="3"/>
  <c r="CK11" i="3" a="1"/>
  <c r="CK11" i="3"/>
  <c r="CK10" i="3" a="1"/>
  <c r="CK10" i="3"/>
  <c r="CK9" i="3" a="1"/>
  <c r="CK9" i="3"/>
  <c r="CK8" i="3" a="1"/>
  <c r="CK8" i="3"/>
  <c r="CK7" i="3" a="1"/>
  <c r="CK7" i="3"/>
  <c r="CK6" i="3" a="1"/>
  <c r="CK6" i="3"/>
  <c r="CK5" i="3" a="1"/>
  <c r="CK5" i="3"/>
  <c r="CK4" i="3" a="1"/>
  <c r="CK4" i="3"/>
  <c r="CK3" i="3" a="1"/>
  <c r="CK3" i="3" s="1"/>
  <c r="CK2" i="3" a="1"/>
  <c r="CK2" i="3"/>
  <c r="CF22" i="3" a="1"/>
  <c r="CF22" i="3" s="1"/>
  <c r="CF21" i="3" a="1"/>
  <c r="CF21" i="3"/>
  <c r="CF20" i="3" a="1"/>
  <c r="CF20" i="3"/>
  <c r="CF19" i="3" a="1"/>
  <c r="CF19" i="3"/>
  <c r="CF18" i="3" a="1"/>
  <c r="CF18" i="3"/>
  <c r="CF17" i="3" a="1"/>
  <c r="CF17" i="3"/>
  <c r="CF16" i="3" a="1"/>
  <c r="CF16" i="3"/>
  <c r="CF15" i="3" a="1"/>
  <c r="CF15" i="3"/>
  <c r="CF14" i="3" a="1"/>
  <c r="CF14" i="3" s="1"/>
  <c r="CF13" i="3" a="1"/>
  <c r="CF13" i="3"/>
  <c r="CF12" i="3" a="1"/>
  <c r="CF12" i="3"/>
  <c r="CF11" i="3" a="1"/>
  <c r="CF11" i="3"/>
  <c r="CF10" i="3" a="1"/>
  <c r="CF10" i="3"/>
  <c r="CF9" i="3" a="1"/>
  <c r="CF9" i="3"/>
  <c r="CF8" i="3" a="1"/>
  <c r="CF8" i="3"/>
  <c r="CF7" i="3" a="1"/>
  <c r="CF7" i="3"/>
  <c r="CF6" i="3" a="1"/>
  <c r="CF6" i="3" s="1"/>
  <c r="CF5" i="3" a="1"/>
  <c r="CF5" i="3"/>
  <c r="CF4" i="3" a="1"/>
  <c r="CF4" i="3"/>
  <c r="CF3" i="3" a="1"/>
  <c r="CF3" i="3"/>
  <c r="CF2" i="3" a="1"/>
  <c r="CF2" i="3"/>
  <c r="CA22" i="3" a="1"/>
  <c r="CA22" i="3"/>
  <c r="CA21" i="3" a="1"/>
  <c r="CA21" i="3"/>
  <c r="CA20" i="3" a="1"/>
  <c r="CA20" i="3"/>
  <c r="CA19" i="3" a="1"/>
  <c r="CA19" i="3"/>
  <c r="CA18" i="3" a="1"/>
  <c r="CA18" i="3"/>
  <c r="CA17" i="3" a="1"/>
  <c r="CA17" i="3"/>
  <c r="CA16" i="3" a="1"/>
  <c r="CA16" i="3"/>
  <c r="CA15" i="3" a="1"/>
  <c r="CA15" i="3"/>
  <c r="CA14" i="3" a="1"/>
  <c r="CA14" i="3"/>
  <c r="CA13" i="3" a="1"/>
  <c r="CA13" i="3"/>
  <c r="CA12" i="3" a="1"/>
  <c r="CA12" i="3"/>
  <c r="CA11" i="3" a="1"/>
  <c r="CA11" i="3"/>
  <c r="CA10" i="3" a="1"/>
  <c r="CA10" i="3"/>
  <c r="CA9" i="3" a="1"/>
  <c r="CA9" i="3"/>
  <c r="CA8" i="3" a="1"/>
  <c r="CA8" i="3" s="1"/>
  <c r="CA7" i="3" a="1"/>
  <c r="CA7" i="3"/>
  <c r="CA6" i="3" a="1"/>
  <c r="CA6" i="3"/>
  <c r="CA5" i="3" a="1"/>
  <c r="CA5" i="3"/>
  <c r="CA4" i="3" a="1"/>
  <c r="CA4" i="3"/>
  <c r="CA3" i="3" a="1"/>
  <c r="CA3" i="3"/>
  <c r="CA2" i="3" a="1"/>
  <c r="CA2" i="3"/>
  <c r="BV22" i="3" a="1"/>
  <c r="BV22" i="3" s="1"/>
  <c r="BV21" i="3" a="1"/>
  <c r="BV21" i="3" s="1"/>
  <c r="BV20" i="3" a="1"/>
  <c r="BV20" i="3"/>
  <c r="BV19" i="3" a="1"/>
  <c r="BV19" i="3"/>
  <c r="BV18" i="3" a="1"/>
  <c r="BV18" i="3"/>
  <c r="BV17" i="3" a="1"/>
  <c r="BV17" i="3" s="1"/>
  <c r="BV16" i="3" a="1"/>
  <c r="BV16" i="3"/>
  <c r="BV15" i="3" a="1"/>
  <c r="BV15" i="3"/>
  <c r="BV14" i="3" a="1"/>
  <c r="BV14" i="3" s="1"/>
  <c r="BV13" i="3" a="1"/>
  <c r="BV13" i="3" s="1"/>
  <c r="BV12" i="3" a="1"/>
  <c r="BV12" i="3"/>
  <c r="BV11" i="3" a="1"/>
  <c r="BV11" i="3"/>
  <c r="BV10" i="3" a="1"/>
  <c r="BV10" i="3"/>
  <c r="BV9" i="3" a="1"/>
  <c r="BV9" i="3"/>
  <c r="BV8" i="3" a="1"/>
  <c r="BV8" i="3"/>
  <c r="BV7" i="3" a="1"/>
  <c r="BV7" i="3"/>
  <c r="BV6" i="3" a="1"/>
  <c r="BV6" i="3" s="1"/>
  <c r="BV5" i="3" a="1"/>
  <c r="BV5" i="3" s="1"/>
  <c r="BV4" i="3" a="1"/>
  <c r="BV4" i="3"/>
  <c r="BV3" i="3" a="1"/>
  <c r="BV3" i="3"/>
  <c r="BV2" i="3" a="1"/>
  <c r="BV2" i="3"/>
  <c r="BQ22" i="3" a="1"/>
  <c r="BQ22" i="3"/>
  <c r="BQ21" i="3" a="1"/>
  <c r="BQ21" i="3" s="1"/>
  <c r="BQ20" i="3" a="1"/>
  <c r="BQ20" i="3" s="1"/>
  <c r="BQ19" i="3" a="1"/>
  <c r="BQ19" i="3"/>
  <c r="BQ18" i="3" a="1"/>
  <c r="BQ18" i="3"/>
  <c r="BQ17" i="3" a="1"/>
  <c r="BQ17" i="3"/>
  <c r="BQ16" i="3" a="1"/>
  <c r="BQ16" i="3"/>
  <c r="BQ15" i="3" a="1"/>
  <c r="BQ15" i="3"/>
  <c r="BQ14" i="3" a="1"/>
  <c r="BQ14" i="3"/>
  <c r="BQ13" i="3" a="1"/>
  <c r="BQ13" i="3" s="1"/>
  <c r="BQ12" i="3" a="1"/>
  <c r="BQ12" i="3" s="1"/>
  <c r="BQ11" i="3" a="1"/>
  <c r="BQ11" i="3"/>
  <c r="BQ10" i="3" a="1"/>
  <c r="BQ10" i="3"/>
  <c r="BQ9" i="3" a="1"/>
  <c r="BQ9" i="3"/>
  <c r="BQ8" i="3" a="1"/>
  <c r="BQ8" i="3"/>
  <c r="BQ7" i="3" a="1"/>
  <c r="BQ7" i="3"/>
  <c r="BQ6" i="3" a="1"/>
  <c r="BQ6" i="3"/>
  <c r="BQ5" i="3" a="1"/>
  <c r="BQ5" i="3" s="1"/>
  <c r="BQ4" i="3" a="1"/>
  <c r="BQ4" i="3" s="1"/>
  <c r="BQ3" i="3" a="1"/>
  <c r="BQ3" i="3"/>
  <c r="BQ2" i="3" a="1"/>
  <c r="BQ2" i="3"/>
  <c r="BL22" i="3" a="1"/>
  <c r="BL22" i="3" s="1"/>
  <c r="BL21" i="3" a="1"/>
  <c r="BL21" i="3"/>
  <c r="BL20" i="3" a="1"/>
  <c r="BL20" i="3"/>
  <c r="BL19" i="3" a="1"/>
  <c r="BL19" i="3"/>
  <c r="BL18" i="3" a="1"/>
  <c r="BL18" i="3"/>
  <c r="BL17" i="3" a="1"/>
  <c r="BL17" i="3"/>
  <c r="BL16" i="3" a="1"/>
  <c r="BL16" i="3"/>
  <c r="BL15" i="3" a="1"/>
  <c r="BL15" i="3"/>
  <c r="BL14" i="3" a="1"/>
  <c r="BL14" i="3" s="1"/>
  <c r="BL13" i="3" a="1"/>
  <c r="BL13" i="3"/>
  <c r="BL12" i="3" a="1"/>
  <c r="BL12" i="3"/>
  <c r="BL11" i="3" a="1"/>
  <c r="BL11" i="3"/>
  <c r="BL10" i="3" a="1"/>
  <c r="BL10" i="3"/>
  <c r="BL9" i="3" a="1"/>
  <c r="BL9" i="3"/>
  <c r="BL8" i="3" a="1"/>
  <c r="BL8" i="3"/>
  <c r="BL7" i="3" a="1"/>
  <c r="BL7" i="3"/>
  <c r="BL6" i="3" a="1"/>
  <c r="BL6" i="3" s="1"/>
  <c r="BL5" i="3" a="1"/>
  <c r="BL5" i="3"/>
  <c r="BL4" i="3" a="1"/>
  <c r="BL4" i="3"/>
  <c r="BL3" i="3" a="1"/>
  <c r="BL3" i="3"/>
  <c r="BL2" i="3" a="1"/>
  <c r="BL2" i="3"/>
  <c r="BG22" i="3" a="1"/>
  <c r="BG22" i="3" s="1"/>
  <c r="BG21" i="3" a="1"/>
  <c r="BG21" i="3"/>
  <c r="BG20" i="3" a="1"/>
  <c r="BG20" i="3"/>
  <c r="BG19" i="3" a="1"/>
  <c r="BG19" i="3"/>
  <c r="BG18" i="3" a="1"/>
  <c r="BG18" i="3"/>
  <c r="BG17" i="3" a="1"/>
  <c r="BG17" i="3"/>
  <c r="BG16" i="3" a="1"/>
  <c r="BG16" i="3"/>
  <c r="BG15" i="3" a="1"/>
  <c r="BG15" i="3"/>
  <c r="BG14" i="3" a="1"/>
  <c r="BG14" i="3" s="1"/>
  <c r="BG13" i="3" a="1"/>
  <c r="BG13" i="3"/>
  <c r="BG12" i="3" a="1"/>
  <c r="BG12" i="3"/>
  <c r="BG11" i="3" a="1"/>
  <c r="BG11" i="3"/>
  <c r="BG10" i="3" a="1"/>
  <c r="BG10" i="3"/>
  <c r="BG9" i="3" a="1"/>
  <c r="BG9" i="3"/>
  <c r="BG8" i="3" a="1"/>
  <c r="BG8" i="3"/>
  <c r="BG7" i="3" a="1"/>
  <c r="BG7" i="3"/>
  <c r="BG6" i="3" a="1"/>
  <c r="BG6" i="3" s="1"/>
  <c r="BG5" i="3" a="1"/>
  <c r="BG5" i="3"/>
  <c r="BG4" i="3" a="1"/>
  <c r="BG4" i="3"/>
  <c r="BG3" i="3" a="1"/>
  <c r="BG3" i="3"/>
  <c r="BG2" i="3" a="1"/>
  <c r="BG2" i="3"/>
  <c r="BB22" i="3" a="1"/>
  <c r="BB22" i="3" s="1"/>
  <c r="BB21" i="3" a="1"/>
  <c r="BB21" i="3"/>
  <c r="BB20" i="3" a="1"/>
  <c r="BB20" i="3"/>
  <c r="BB19" i="3" a="1"/>
  <c r="BB19" i="3"/>
  <c r="BB18" i="3" a="1"/>
  <c r="BB18" i="3"/>
  <c r="BB17" i="3" a="1"/>
  <c r="BB17" i="3"/>
  <c r="BB16" i="3" a="1"/>
  <c r="BB16" i="3"/>
  <c r="BB15" i="3" a="1"/>
  <c r="BB15" i="3"/>
  <c r="BB14" i="3" a="1"/>
  <c r="BB14" i="3" s="1"/>
  <c r="BB13" i="3" a="1"/>
  <c r="BB13" i="3"/>
  <c r="BB12" i="3" a="1"/>
  <c r="BB12" i="3"/>
  <c r="BB11" i="3" a="1"/>
  <c r="BB11" i="3" s="1"/>
  <c r="BB10" i="3" a="1"/>
  <c r="BB10" i="3"/>
  <c r="BB9" i="3" a="1"/>
  <c r="BB9" i="3"/>
  <c r="BB8" i="3" a="1"/>
  <c r="BB8" i="3"/>
  <c r="BB7" i="3" a="1"/>
  <c r="BB7" i="3"/>
  <c r="BB6" i="3" a="1"/>
  <c r="BB6" i="3" s="1"/>
  <c r="BB5" i="3" a="1"/>
  <c r="BB5" i="3"/>
  <c r="BB4" i="3" a="1"/>
  <c r="BB4" i="3" s="1"/>
  <c r="BB3" i="3" a="1"/>
  <c r="BB3" i="3"/>
  <c r="BB2" i="3" a="1"/>
  <c r="BB2" i="3" s="1"/>
  <c r="AW22" i="3" a="1"/>
  <c r="AW22" i="3" s="1"/>
  <c r="AW21" i="3" a="1"/>
  <c r="AW21" i="3"/>
  <c r="AW20" i="3" a="1"/>
  <c r="AW20" i="3"/>
  <c r="AW19" i="3" a="1"/>
  <c r="AW19" i="3"/>
  <c r="AW18" i="3" a="1"/>
  <c r="AW18" i="3"/>
  <c r="AW17" i="3" a="1"/>
  <c r="AW17" i="3"/>
  <c r="AW16" i="3" a="1"/>
  <c r="AW16" i="3"/>
  <c r="AW15" i="3" a="1"/>
  <c r="AW15" i="3"/>
  <c r="AW14" i="3" a="1"/>
  <c r="AW14" i="3" s="1"/>
  <c r="AW13" i="3" a="1"/>
  <c r="AW13" i="3"/>
  <c r="AW12" i="3" a="1"/>
  <c r="AW12" i="3"/>
  <c r="AW11" i="3" a="1"/>
  <c r="AW11" i="3"/>
  <c r="AW10" i="3" a="1"/>
  <c r="AW10" i="3"/>
  <c r="AW9" i="3" a="1"/>
  <c r="AW9" i="3"/>
  <c r="AW8" i="3" a="1"/>
  <c r="AW8" i="3"/>
  <c r="AW7" i="3" a="1"/>
  <c r="AW7" i="3"/>
  <c r="AW6" i="3" a="1"/>
  <c r="AW6" i="3" s="1"/>
  <c r="AW5" i="3" a="1"/>
  <c r="AW5" i="3"/>
  <c r="AW4" i="3" a="1"/>
  <c r="AW4" i="3"/>
  <c r="AW3" i="3" a="1"/>
  <c r="AW3" i="3"/>
  <c r="AW2" i="3" a="1"/>
  <c r="AW2" i="3"/>
  <c r="AR22" i="3" a="1"/>
  <c r="AR22" i="3" s="1"/>
  <c r="AR21" i="3" a="1"/>
  <c r="AR21" i="3" s="1"/>
  <c r="AR20" i="3" a="1"/>
  <c r="AR20" i="3"/>
  <c r="AR19" i="3" a="1"/>
  <c r="AR19" i="3"/>
  <c r="AR18" i="3" a="1"/>
  <c r="AR18" i="3"/>
  <c r="AR17" i="3" a="1"/>
  <c r="AR17" i="3"/>
  <c r="AR16" i="3" a="1"/>
  <c r="AR16" i="3"/>
  <c r="AR15" i="3" a="1"/>
  <c r="AR15" i="3"/>
  <c r="AR14" i="3" a="1"/>
  <c r="AR14" i="3" s="1"/>
  <c r="AR13" i="3" a="1"/>
  <c r="AR13" i="3" s="1"/>
  <c r="AR12" i="3" a="1"/>
  <c r="AR12" i="3"/>
  <c r="AR11" i="3" a="1"/>
  <c r="AR11" i="3"/>
  <c r="AR10" i="3" a="1"/>
  <c r="AR10" i="3"/>
  <c r="AR9" i="3" a="1"/>
  <c r="AR9" i="3"/>
  <c r="AR8" i="3" a="1"/>
  <c r="AR8" i="3"/>
  <c r="AR7" i="3" a="1"/>
  <c r="AR7" i="3"/>
  <c r="AR6" i="3" a="1"/>
  <c r="AR6" i="3" s="1"/>
  <c r="AR5" i="3" a="1"/>
  <c r="AR5" i="3" s="1"/>
  <c r="AR4" i="3" a="1"/>
  <c r="AR4" i="3"/>
  <c r="AR3" i="3" a="1"/>
  <c r="AR3" i="3"/>
  <c r="AR2" i="3" a="1"/>
  <c r="AR2" i="3"/>
  <c r="AM22" i="3" a="1"/>
  <c r="AM22" i="3"/>
  <c r="AM21" i="3" a="1"/>
  <c r="AM21" i="3"/>
  <c r="AM20" i="3" a="1"/>
  <c r="AM20" i="3"/>
  <c r="AM19" i="3" a="1"/>
  <c r="AM19" i="3" s="1"/>
  <c r="AM18" i="3" a="1"/>
  <c r="AM18" i="3"/>
  <c r="AM17" i="3" a="1"/>
  <c r="AM17" i="3"/>
  <c r="AM16" i="3" a="1"/>
  <c r="AM16" i="3"/>
  <c r="AM15" i="3" a="1"/>
  <c r="AM15" i="3"/>
  <c r="AM14" i="3" a="1"/>
  <c r="AM14" i="3"/>
  <c r="AM13" i="3" a="1"/>
  <c r="AM13" i="3"/>
  <c r="AM12" i="3" a="1"/>
  <c r="AM12" i="3"/>
  <c r="AM11" i="3" a="1"/>
  <c r="AM11" i="3" s="1"/>
  <c r="AM10" i="3" a="1"/>
  <c r="AM10" i="3"/>
  <c r="AM9" i="3" a="1"/>
  <c r="AM9" i="3"/>
  <c r="AM8" i="3" a="1"/>
  <c r="AM8" i="3"/>
  <c r="AM7" i="3" a="1"/>
  <c r="AM7" i="3"/>
  <c r="AM6" i="3" a="1"/>
  <c r="AM6" i="3"/>
  <c r="AM5" i="3" a="1"/>
  <c r="AM5" i="3"/>
  <c r="AM4" i="3" a="1"/>
  <c r="AM4" i="3"/>
  <c r="AM3" i="3" a="1"/>
  <c r="AM3" i="3" s="1"/>
  <c r="AM2" i="3" a="1"/>
  <c r="AM2" i="3"/>
  <c r="AH22" i="3" a="1"/>
  <c r="AH22" i="3" s="1"/>
  <c r="AH21" i="3" a="1"/>
  <c r="AH21" i="3" s="1"/>
  <c r="AH20" i="3" a="1"/>
  <c r="AH20" i="3" s="1"/>
  <c r="AH19" i="3" a="1"/>
  <c r="AH19" i="3"/>
  <c r="AH18" i="3" a="1"/>
  <c r="AH18" i="3"/>
  <c r="AH17" i="3" a="1"/>
  <c r="AH17" i="3"/>
  <c r="AH16" i="3" a="1"/>
  <c r="AH16" i="3"/>
  <c r="AH15" i="3" a="1"/>
  <c r="AH15" i="3"/>
  <c r="AH14" i="3" a="1"/>
  <c r="AH14" i="3" s="1"/>
  <c r="AH13" i="3" a="1"/>
  <c r="AH13" i="3" s="1"/>
  <c r="AH12" i="3" a="1"/>
  <c r="AH12" i="3" s="1"/>
  <c r="AH11" i="3" a="1"/>
  <c r="AH11" i="3"/>
  <c r="AH10" i="3" a="1"/>
  <c r="AH10" i="3"/>
  <c r="AH9" i="3" a="1"/>
  <c r="AH9" i="3"/>
  <c r="AH8" i="3" a="1"/>
  <c r="AH8" i="3"/>
  <c r="AH7" i="3" a="1"/>
  <c r="AH7" i="3"/>
  <c r="AH6" i="3" a="1"/>
  <c r="AH6" i="3" s="1"/>
  <c r="AH5" i="3" a="1"/>
  <c r="AH5" i="3" s="1"/>
  <c r="AH4" i="3" a="1"/>
  <c r="AH4" i="3" s="1"/>
  <c r="AH3" i="3" a="1"/>
  <c r="AH3" i="3"/>
  <c r="AH2" i="3" a="1"/>
  <c r="AH2" i="3"/>
  <c r="AC22" i="3" a="1"/>
  <c r="AC22" i="3" s="1"/>
  <c r="AC21" i="3" a="1"/>
  <c r="AC21" i="3"/>
  <c r="AC20" i="3" a="1"/>
  <c r="AC20" i="3"/>
  <c r="AC19" i="3" a="1"/>
  <c r="AC19" i="3"/>
  <c r="AC18" i="3" a="1"/>
  <c r="AC18" i="3"/>
  <c r="AC17" i="3" a="1"/>
  <c r="AC17" i="3"/>
  <c r="AC16" i="3" a="1"/>
  <c r="AC16" i="3"/>
  <c r="AC15" i="3" a="1"/>
  <c r="AC15" i="3"/>
  <c r="AC14" i="3" a="1"/>
  <c r="AC14" i="3" s="1"/>
  <c r="AC13" i="3" a="1"/>
  <c r="AC13" i="3"/>
  <c r="AC12" i="3" a="1"/>
  <c r="AC12" i="3"/>
  <c r="AC11" i="3" a="1"/>
  <c r="AC11" i="3"/>
  <c r="AC10" i="3" a="1"/>
  <c r="AC10" i="3"/>
  <c r="AC9" i="3" a="1"/>
  <c r="AC9" i="3"/>
  <c r="AC8" i="3" a="1"/>
  <c r="AC8" i="3"/>
  <c r="AC7" i="3" a="1"/>
  <c r="AC7" i="3"/>
  <c r="AC6" i="3" a="1"/>
  <c r="AC6" i="3" s="1"/>
  <c r="AC5" i="3" a="1"/>
  <c r="AC5" i="3"/>
  <c r="AC4" i="3" a="1"/>
  <c r="AC4" i="3"/>
  <c r="AC3" i="3" a="1"/>
  <c r="AC3" i="3"/>
  <c r="AC2" i="3" a="1"/>
  <c r="AC2" i="3"/>
  <c r="X22" i="3" a="1"/>
  <c r="X22" i="3" s="1"/>
  <c r="X21" i="3" a="1"/>
  <c r="X21" i="3" s="1"/>
  <c r="X20" i="3" a="1"/>
  <c r="X20" i="3"/>
  <c r="X19" i="3" a="1"/>
  <c r="X19" i="3"/>
  <c r="X18" i="3" a="1"/>
  <c r="X18" i="3"/>
  <c r="X17" i="3" a="1"/>
  <c r="X17" i="3"/>
  <c r="X16" i="3" a="1"/>
  <c r="X16" i="3"/>
  <c r="X15" i="3" a="1"/>
  <c r="X15" i="3"/>
  <c r="X14" i="3" a="1"/>
  <c r="X14" i="3" s="1"/>
  <c r="X13" i="3" a="1"/>
  <c r="X13" i="3" s="1"/>
  <c r="X12" i="3" a="1"/>
  <c r="X12" i="3"/>
  <c r="X11" i="3" a="1"/>
  <c r="X11" i="3"/>
  <c r="X10" i="3" a="1"/>
  <c r="X10" i="3"/>
  <c r="X9" i="3" a="1"/>
  <c r="X9" i="3"/>
  <c r="X8" i="3" a="1"/>
  <c r="X8" i="3"/>
  <c r="X7" i="3" a="1"/>
  <c r="X7" i="3"/>
  <c r="X6" i="3" a="1"/>
  <c r="X6" i="3" s="1"/>
  <c r="X5" i="3" a="1"/>
  <c r="X5" i="3" s="1"/>
  <c r="X4" i="3" a="1"/>
  <c r="X4" i="3"/>
  <c r="X3" i="3" a="1"/>
  <c r="X3" i="3"/>
  <c r="X2" i="3" a="1"/>
  <c r="X2" i="3"/>
  <c r="S22" i="3" a="1"/>
  <c r="S22" i="3" s="1"/>
  <c r="S21" i="3" a="1"/>
  <c r="S21" i="3"/>
  <c r="S20" i="3" a="1"/>
  <c r="S20" i="3"/>
  <c r="S19" i="3" a="1"/>
  <c r="S19" i="3"/>
  <c r="S18" i="3" a="1"/>
  <c r="S18" i="3"/>
  <c r="S17" i="3" a="1"/>
  <c r="S17" i="3"/>
  <c r="S16" i="3" a="1"/>
  <c r="S16" i="3"/>
  <c r="S15" i="3" a="1"/>
  <c r="S15" i="3"/>
  <c r="S14" i="3" a="1"/>
  <c r="S14" i="3" s="1"/>
  <c r="S13" i="3" a="1"/>
  <c r="S13" i="3"/>
  <c r="S12" i="3" a="1"/>
  <c r="S12" i="3"/>
  <c r="S11" i="3" a="1"/>
  <c r="S11" i="3"/>
  <c r="S10" i="3" a="1"/>
  <c r="S10" i="3"/>
  <c r="S9" i="3" a="1"/>
  <c r="S9" i="3"/>
  <c r="S8" i="3" a="1"/>
  <c r="S8" i="3"/>
  <c r="S7" i="3" a="1"/>
  <c r="S7" i="3"/>
  <c r="S6" i="3" a="1"/>
  <c r="S6" i="3" s="1"/>
  <c r="S5" i="3" a="1"/>
  <c r="S5" i="3"/>
  <c r="S4" i="3" a="1"/>
  <c r="S4" i="3"/>
  <c r="S3" i="3" a="1"/>
  <c r="S3" i="3"/>
  <c r="S2" i="3" a="1"/>
  <c r="S2" i="3"/>
  <c r="N22" i="3" a="1"/>
  <c r="N22" i="3"/>
  <c r="N21" i="3" a="1"/>
  <c r="N21" i="3"/>
  <c r="N20" i="3" a="1"/>
  <c r="N20" i="3" s="1"/>
  <c r="N19" i="3" a="1"/>
  <c r="N19" i="3"/>
  <c r="N18" i="3" a="1"/>
  <c r="N18" i="3"/>
  <c r="N17" i="3" a="1"/>
  <c r="N17" i="3"/>
  <c r="N16" i="3" a="1"/>
  <c r="N16" i="3"/>
  <c r="N15" i="3" a="1"/>
  <c r="N15" i="3"/>
  <c r="N14" i="3" a="1"/>
  <c r="N14" i="3"/>
  <c r="N13" i="3" a="1"/>
  <c r="N13" i="3"/>
  <c r="N12" i="3" a="1"/>
  <c r="N12" i="3"/>
  <c r="N11" i="3" a="1"/>
  <c r="N11" i="3" s="1"/>
  <c r="N10" i="3" a="1"/>
  <c r="N10" i="3"/>
  <c r="N9" i="3" a="1"/>
  <c r="N9" i="3"/>
  <c r="N8" i="3" a="1"/>
  <c r="N8" i="3" s="1"/>
  <c r="N7" i="3" a="1"/>
  <c r="N7" i="3"/>
  <c r="N6" i="3" a="1"/>
  <c r="N6" i="3" s="1"/>
  <c r="N5" i="3" a="1"/>
  <c r="N5" i="3"/>
  <c r="N4" i="3" a="1"/>
  <c r="N4" i="3"/>
  <c r="N3" i="3" a="1"/>
  <c r="N3" i="3"/>
  <c r="N2" i="3" a="1"/>
  <c r="N2" i="3"/>
  <c r="I22" i="3" a="1"/>
  <c r="I22" i="3" s="1"/>
  <c r="I21" i="3" a="1"/>
  <c r="I21" i="3"/>
  <c r="I20" i="3" a="1"/>
  <c r="I20" i="3"/>
  <c r="I19" i="3" a="1"/>
  <c r="I19" i="3"/>
  <c r="I18" i="3" a="1"/>
  <c r="I18" i="3"/>
  <c r="I17" i="3" a="1"/>
  <c r="I17" i="3"/>
  <c r="I16" i="3" a="1"/>
  <c r="I16" i="3"/>
  <c r="I15" i="3" a="1"/>
  <c r="I15" i="3"/>
  <c r="I14" i="3" a="1"/>
  <c r="I14" i="3" s="1"/>
  <c r="I13" i="3" a="1"/>
  <c r="I13" i="3"/>
  <c r="I12" i="3" a="1"/>
  <c r="I12" i="3"/>
  <c r="I11" i="3" a="1"/>
  <c r="I11" i="3"/>
  <c r="I10" i="3" a="1"/>
  <c r="I10" i="3"/>
  <c r="I9" i="3" a="1"/>
  <c r="I9" i="3"/>
  <c r="I8" i="3" a="1"/>
  <c r="I8" i="3"/>
  <c r="I7" i="3" a="1"/>
  <c r="I7" i="3"/>
  <c r="I6" i="3" a="1"/>
  <c r="I6" i="3" s="1"/>
  <c r="I5" i="3" a="1"/>
  <c r="I5" i="3"/>
  <c r="I4" i="3" a="1"/>
  <c r="I4" i="3"/>
  <c r="I3" i="3" a="1"/>
  <c r="I3" i="3"/>
  <c r="I2" i="3" a="1"/>
  <c r="I2" i="3"/>
  <c r="B27" i="4"/>
  <c r="B26" i="4"/>
  <c r="B27" i="3"/>
  <c r="B26" i="3"/>
  <c r="C27" i="4" l="1"/>
  <c r="C25" i="4"/>
  <c r="C24" i="4"/>
  <c r="C26" i="4"/>
  <c r="C25" i="3"/>
  <c r="C24" i="3"/>
  <c r="C26" i="3"/>
  <c r="C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<sst xmlns="http://schemas.openxmlformats.org/spreadsheetml/2006/main" count="904" uniqueCount="292">
  <si>
    <t>Timestamp</t>
  </si>
  <si>
    <t>Total score</t>
  </si>
  <si>
    <t>Weighted Total Score</t>
  </si>
  <si>
    <t>What is your name?</t>
  </si>
  <si>
    <t>Telegram Contact</t>
  </si>
  <si>
    <t>Which of the following is not a party that was based regionally in practice?</t>
  </si>
  <si>
    <t>Which of the following is not a party that was based regionally in practice? [Score]</t>
  </si>
  <si>
    <t>How confident are you in your answer?</t>
  </si>
  <si>
    <t>Probability</t>
  </si>
  <si>
    <t>Weighted Score</t>
  </si>
  <si>
    <t>What led to a civil war in Nigeria in the mid 1960s as mentioned in the passage?</t>
  </si>
  <si>
    <t>What led to a civil war in Nigeria in the mid 1960s as mentioned in the passage? [Score]</t>
  </si>
  <si>
    <t>When were political parties made legal again as long as they were national and not regional?</t>
  </si>
  <si>
    <t>When were political parties made legal again as long as they were national and not regional? [Score]</t>
  </si>
  <si>
    <t>How old must a citizen of Nigeria be to vote?</t>
  </si>
  <si>
    <t>How old must a citizen of Nigeria be to vote? [Score]</t>
  </si>
  <si>
    <t>In the early 2000s, what percentage of the House of Representatives and the Senate did women make up?</t>
  </si>
  <si>
    <t>In the early 2000s, what percentage of the House of Representatives and the Senate did women make up? [Score]</t>
  </si>
  <si>
    <t>How many percent of revenue does tourism account for in Croatia?</t>
  </si>
  <si>
    <t>How many percent of revenue does tourism account for in Croatia? [Score]</t>
  </si>
  <si>
    <t>Whom among the following celebrities was not mentioned to have been lured to Croatia's sun-soaked coasts?</t>
  </si>
  <si>
    <t>Whom among the following celebrities was not mentioned to have been lured to Croatia's sun-soaked coasts? [Score]</t>
  </si>
  <si>
    <t xml:space="preserve">Which of the following is not an island in Croatia that was mentioned in the passage? </t>
  </si>
  <si>
    <t>Which of the following is not an island in Croatia that was mentioned in the passage?  [Score]</t>
  </si>
  <si>
    <t>What does Broker Group specialise in?</t>
  </si>
  <si>
    <t>What does Broker Group specialise in? [Score]</t>
  </si>
  <si>
    <t>What is the requirement for Switzerland's citizens to buy a property in Croatia?</t>
  </si>
  <si>
    <t>What is the requirement for Switzerland's citizens to buy a property in Croatia? [Score]</t>
  </si>
  <si>
    <t>When did the story take place?</t>
  </si>
  <si>
    <t>When did the story take place? [Score]</t>
  </si>
  <si>
    <t>Where did this story take place?</t>
  </si>
  <si>
    <t>Where did this story take place? [Score]</t>
  </si>
  <si>
    <t>What was the prince's name?</t>
  </si>
  <si>
    <t>What was the prince's name? [Score]</t>
  </si>
  <si>
    <t>How old was the prince's son? Select the most correct option.</t>
  </si>
  <si>
    <t>How old was the prince's son? Select the most correct option. [Score]</t>
  </si>
  <si>
    <t>What weapon does the prince use?</t>
  </si>
  <si>
    <t>What weapon does the prince use? [Score]</t>
  </si>
  <si>
    <t>What is Extreme Ironing?</t>
  </si>
  <si>
    <t>What is Extreme Ironing? [Score]</t>
  </si>
  <si>
    <t>When was Extreme Ironing first introduced?</t>
  </si>
  <si>
    <t>When was Extreme Ironing first introduced? [Score]</t>
  </si>
  <si>
    <t>Where was Extreme Ironing first introduced?</t>
  </si>
  <si>
    <t>Where was Extreme Ironing first introduced? [Score]</t>
  </si>
  <si>
    <t>How many teams participated in the first Extreme Ironing World Championship?</t>
  </si>
  <si>
    <t>How many teams participated in the first Extreme Ironing World Championship? [Score]</t>
  </si>
  <si>
    <t>What did a participant do above Everest Base camp?</t>
  </si>
  <si>
    <t>What did a participant do above Everest Base camp? [Score]</t>
  </si>
  <si>
    <t>Ho Wei Rui</t>
  </si>
  <si>
    <t>@Forger888</t>
  </si>
  <si>
    <t>Action Group (AG)</t>
  </si>
  <si>
    <t>Regionalism of parties caused political instability.</t>
  </si>
  <si>
    <t>Brad Pitt</t>
  </si>
  <si>
    <t>Dubrovnik</t>
  </si>
  <si>
    <t>Sales to international buyers looking for a second holiday home.</t>
  </si>
  <si>
    <t>Need to spend at least eight months in Croatia</t>
  </si>
  <si>
    <t>medieval Europe time</t>
  </si>
  <si>
    <t>medieval Europe (Forgot the name)</t>
  </si>
  <si>
    <t>Lywelyn</t>
  </si>
  <si>
    <t>8 months</t>
  </si>
  <si>
    <t>Sword</t>
  </si>
  <si>
    <t>An adventurous sport</t>
  </si>
  <si>
    <t>Leicester</t>
  </si>
  <si>
    <t>Iron an article of clothing</t>
  </si>
  <si>
    <t>Samuel</t>
  </si>
  <si>
    <t>@KodekLim</t>
  </si>
  <si>
    <t>5 percent</t>
  </si>
  <si>
    <t>BraÄ</t>
  </si>
  <si>
    <t>None of the above</t>
  </si>
  <si>
    <t>Idk</t>
  </si>
  <si>
    <t>Lywellyn</t>
  </si>
  <si>
    <t>12 months</t>
  </si>
  <si>
    <t>Settle</t>
  </si>
  <si>
    <t>ironing</t>
  </si>
  <si>
    <t>Timothy</t>
  </si>
  <si>
    <t>@TimothyyChua</t>
  </si>
  <si>
    <t>Northern People's Congress (NPC)</t>
  </si>
  <si>
    <t>KorÄula</t>
  </si>
  <si>
    <t>None of the above.</t>
  </si>
  <si>
    <t>In the past</t>
  </si>
  <si>
    <t>England</t>
  </si>
  <si>
    <t>Not mentioned in passage</t>
  </si>
  <si>
    <t>iron</t>
  </si>
  <si>
    <t>Theo</t>
  </si>
  <si>
    <t>Theo_A_9</t>
  </si>
  <si>
    <t>People's Democratic Party (PDP)</t>
  </si>
  <si>
    <t>thirteenth century</t>
  </si>
  <si>
    <t>Carneevorish</t>
  </si>
  <si>
    <t>Llywelyn</t>
  </si>
  <si>
    <t>Ahmad Danish</t>
  </si>
  <si>
    <t>@ahatnme</t>
  </si>
  <si>
    <t>Sales to international buyers looking to permanently move to Croatia.</t>
  </si>
  <si>
    <t>Croatia</t>
  </si>
  <si>
    <t>not in passage</t>
  </si>
  <si>
    <t>Xavier</t>
  </si>
  <si>
    <t>@HokkienMee</t>
  </si>
  <si>
    <t>Religious conflict caused political instability.</t>
  </si>
  <si>
    <t>no idea</t>
  </si>
  <si>
    <t>1500s</t>
  </si>
  <si>
    <t>Birmingham</t>
  </si>
  <si>
    <t>iron clothes</t>
  </si>
  <si>
    <t>Natasha</t>
  </si>
  <si>
    <t>@nattaasshhh</t>
  </si>
  <si>
    <t>National Council for Nigeria</t>
  </si>
  <si>
    <t>Carnarvonsmtg???</t>
  </si>
  <si>
    <t>Spear</t>
  </si>
  <si>
    <t>Ironed</t>
  </si>
  <si>
    <t>Khairil</t>
  </si>
  <si>
    <t>@khairil_fahmi</t>
  </si>
  <si>
    <t>Hvar</t>
  </si>
  <si>
    <t>1600s</t>
  </si>
  <si>
    <t>Germany</t>
  </si>
  <si>
    <t>Llewelyn</t>
  </si>
  <si>
    <t>Iron the american flag</t>
  </si>
  <si>
    <t xml:space="preserve">Ayesha </t>
  </si>
  <si>
    <t>ayeshadows</t>
  </si>
  <si>
    <t>Sales to local buyers looking for a second holiday home.</t>
  </si>
  <si>
    <t>olden times</t>
  </si>
  <si>
    <t>idk</t>
  </si>
  <si>
    <t>6 months</t>
  </si>
  <si>
    <t>Hubert Koh</t>
  </si>
  <si>
    <t>@hbert</t>
  </si>
  <si>
    <t>Michael Jordan</t>
  </si>
  <si>
    <t>1800s</t>
  </si>
  <si>
    <t>Caernhershire</t>
  </si>
  <si>
    <t>Ironing a Jack Union Flag</t>
  </si>
  <si>
    <t>Goh Qian Zhe</t>
  </si>
  <si>
    <t>qianzhegoh</t>
  </si>
  <si>
    <t>Ironed the Union Jack</t>
  </si>
  <si>
    <t>Amara</t>
  </si>
  <si>
    <t>amaraaar</t>
  </si>
  <si>
    <t>Mid 1960s</t>
  </si>
  <si>
    <t>I don't know ðŸ˜­ðŸ˜­ðŸ˜­</t>
  </si>
  <si>
    <t>wo bu zhi daoooo</t>
  </si>
  <si>
    <t>Yorkshire</t>
  </si>
  <si>
    <t>12????</t>
  </si>
  <si>
    <t xml:space="preserve">Iron a union jack flag </t>
  </si>
  <si>
    <t>Alster</t>
  </si>
  <si>
    <t>Alsterlow</t>
  </si>
  <si>
    <t>The government was corrupted.</t>
  </si>
  <si>
    <t>No requirement; property can be bought easily</t>
  </si>
  <si>
    <t>Haha</t>
  </si>
  <si>
    <t>Huh</t>
  </si>
  <si>
    <t>Crossbow</t>
  </si>
  <si>
    <t>A smithing competition</t>
  </si>
  <si>
    <t>India</t>
  </si>
  <si>
    <t>Bryan Tan</t>
  </si>
  <si>
    <t>bryxntxn</t>
  </si>
  <si>
    <t>Covenshire in D</t>
  </si>
  <si>
    <t>Iron a Union Jack</t>
  </si>
  <si>
    <t>Tan le zhan</t>
  </si>
  <si>
    <t>@le_zhan</t>
  </si>
  <si>
    <t>Bernie Ecclestone</t>
  </si>
  <si>
    <t>Starts with an R</t>
  </si>
  <si>
    <t>Iron a union jack</t>
  </si>
  <si>
    <t xml:space="preserve">Kai En </t>
  </si>
  <si>
    <t>kaine119</t>
  </si>
  <si>
    <t>Once upon a time</t>
  </si>
  <si>
    <t>Neverland</t>
  </si>
  <si>
    <t>London</t>
  </si>
  <si>
    <t xml:space="preserve">10 billion </t>
  </si>
  <si>
    <t>iron a shirt</t>
  </si>
  <si>
    <t>David Ling</t>
  </si>
  <si>
    <t>NullStellaris</t>
  </si>
  <si>
    <t>Wales</t>
  </si>
  <si>
    <t>Jean soh</t>
  </si>
  <si>
    <t>S_jean</t>
  </si>
  <si>
    <t xml:space="preserve">The a mayor </t>
  </si>
  <si>
    <t>Lewelyn</t>
  </si>
  <si>
    <t xml:space="preserve">Iron the British jack </t>
  </si>
  <si>
    <t xml:space="preserve">Abigail </t>
  </si>
  <si>
    <t>hsw_abi</t>
  </si>
  <si>
    <t>The government was authoritarian.</t>
  </si>
  <si>
    <t>Need to obtain permission from the Ministry of Justice</t>
  </si>
  <si>
    <t>Middle Ages</t>
  </si>
  <si>
    <t>Creargnr</t>
  </si>
  <si>
    <t>Extreme ironing</t>
  </si>
  <si>
    <t>Pan Ziyue</t>
  </si>
  <si>
    <t xml:space="preserve">panziyue </t>
  </si>
  <si>
    <t xml:space="preserve">A long time ago when there's kingdoms </t>
  </si>
  <si>
    <t>Sonething-shire</t>
  </si>
  <si>
    <t>Bow and arrow</t>
  </si>
  <si>
    <t>Iron the Union Jack</t>
  </si>
  <si>
    <t>Tan Aik Young</t>
  </si>
  <si>
    <t>@aikyoung</t>
  </si>
  <si>
    <t>At least 18</t>
  </si>
  <si>
    <t>Jay Z</t>
  </si>
  <si>
    <t>1300s</t>
  </si>
  <si>
    <t>Gelbert</t>
  </si>
  <si>
    <t>Iron a union Jack</t>
  </si>
  <si>
    <t>Average:</t>
  </si>
  <si>
    <t>Confidence</t>
  </si>
  <si>
    <t>Probabilities</t>
  </si>
  <si>
    <t>Correct</t>
  </si>
  <si>
    <t>Wrong</t>
  </si>
  <si>
    <t>Std Deviation:</t>
  </si>
  <si>
    <t>Highest:</t>
  </si>
  <si>
    <t>Lowest:</t>
  </si>
  <si>
    <t>what if instead of wrong being pos</t>
  </si>
  <si>
    <t>wrong gives negative value</t>
  </si>
  <si>
    <t>still have the normalising problem</t>
  </si>
  <si>
    <t>Weighted score</t>
  </si>
  <si>
    <t>Karthik</t>
  </si>
  <si>
    <t>i_m_karthik</t>
  </si>
  <si>
    <t>five</t>
  </si>
  <si>
    <t>around 5th century</t>
  </si>
  <si>
    <t>Nursery of the prince's son</t>
  </si>
  <si>
    <t>iron union jack</t>
  </si>
  <si>
    <t>Muhammad Hilman bin Mohd Sabli</t>
  </si>
  <si>
    <t>@tylenol_painrelief</t>
  </si>
  <si>
    <t>i dont think it was mentioned</t>
  </si>
  <si>
    <t>Iron some clothes</t>
  </si>
  <si>
    <t>Phua Wei En</t>
  </si>
  <si>
    <t>@Phuaweien</t>
  </si>
  <si>
    <t>Qistina</t>
  </si>
  <si>
    <t>aeiono</t>
  </si>
  <si>
    <t>damn long ago</t>
  </si>
  <si>
    <t>in some castle</t>
  </si>
  <si>
    <t>16 months</t>
  </si>
  <si>
    <t>Hannah Lim Hwee Yen</t>
  </si>
  <si>
    <t>haennuh</t>
  </si>
  <si>
    <t>Answer was not stated in passage</t>
  </si>
  <si>
    <t>An ironing technique</t>
  </si>
  <si>
    <t>iron above 5546m above ground</t>
  </si>
  <si>
    <t>elise</t>
  </si>
  <si>
    <t>@elsiesiapa</t>
  </si>
  <si>
    <t>13th century</t>
  </si>
  <si>
    <t>iron competition</t>
  </si>
  <si>
    <t>Sawera</t>
  </si>
  <si>
    <t>sawera03</t>
  </si>
  <si>
    <t xml:space="preserve">england </t>
  </si>
  <si>
    <t>set the record for the highest place they ironed</t>
  </si>
  <si>
    <t>Bilqays</t>
  </si>
  <si>
    <t>billqays</t>
  </si>
  <si>
    <t>Iron</t>
  </si>
  <si>
    <t>Ryner Tan</t>
  </si>
  <si>
    <t>@mentallychill</t>
  </si>
  <si>
    <t>i forgot</t>
  </si>
  <si>
    <t>extreme ironing</t>
  </si>
  <si>
    <t>Dbw</t>
  </si>
  <si>
    <t>@itsmedbw</t>
  </si>
  <si>
    <t>No idea</t>
  </si>
  <si>
    <t>Iron something with creativity</t>
  </si>
  <si>
    <t>Lee Wei</t>
  </si>
  <si>
    <t>@lee_wayyy</t>
  </si>
  <si>
    <t>noidawjdoiajd</t>
  </si>
  <si>
    <t>chausmthstmh</t>
  </si>
  <si>
    <t>he set the world record for like ironing 5500m above sea level</t>
  </si>
  <si>
    <t>Marcus</t>
  </si>
  <si>
    <t>@lokikixz</t>
  </si>
  <si>
    <t>China</t>
  </si>
  <si>
    <t>Iron Cloths</t>
  </si>
  <si>
    <t>Daphne</t>
  </si>
  <si>
    <t>ruirruii</t>
  </si>
  <si>
    <t>Gereth</t>
  </si>
  <si>
    <t>Iron the union flag at the mountain base</t>
  </si>
  <si>
    <t>Boon Pin</t>
  </si>
  <si>
    <t>thecoolerboonpin</t>
  </si>
  <si>
    <t>Bedgelet</t>
  </si>
  <si>
    <t>Iron a clothe</t>
  </si>
  <si>
    <t>Seng Kiat</t>
  </si>
  <si>
    <t>@senggkiat</t>
  </si>
  <si>
    <t>8 or 9%</t>
  </si>
  <si>
    <t>no clue</t>
  </si>
  <si>
    <t xml:space="preserve">Yan Zhen </t>
  </si>
  <si>
    <t>@yanzhenteo</t>
  </si>
  <si>
    <t>A very long weird name that I can't spell</t>
  </si>
  <si>
    <t>Ironed navel something and was the highest altitude recorded</t>
  </si>
  <si>
    <t>Chen Jing Hao</t>
  </si>
  <si>
    <t>ababbobobo</t>
  </si>
  <si>
    <t>15 century</t>
  </si>
  <si>
    <t>Bro how to spell bro that shit 20 letters long</t>
  </si>
  <si>
    <t>iron a shirt and set a record for highest iron above sea level (at the time)</t>
  </si>
  <si>
    <t>Rey Lam</t>
  </si>
  <si>
    <t>Zilchorey</t>
  </si>
  <si>
    <t>I don't know</t>
  </si>
  <si>
    <t>13th Century</t>
  </si>
  <si>
    <t>Beggeldend</t>
  </si>
  <si>
    <t>Around 50</t>
  </si>
  <si>
    <t>Haneeshwar Reddy</t>
  </si>
  <si>
    <t>@haneesh0_0</t>
  </si>
  <si>
    <t>1700's (?)</t>
  </si>
  <si>
    <t>Wales..?</t>
  </si>
  <si>
    <t>Vincent Santosa</t>
  </si>
  <si>
    <t>vinc_mark</t>
  </si>
  <si>
    <t>15th century</t>
  </si>
  <si>
    <t>Caernarvonshire beddgelert</t>
  </si>
  <si>
    <t>iron the union jack</t>
  </si>
  <si>
    <t>vanika sharma</t>
  </si>
  <si>
    <t>blue_sapphire11</t>
  </si>
  <si>
    <t>1880s</t>
  </si>
  <si>
    <t>couvenshire (i dont rmr the spelling)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</si>
</sst>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6" fillId="0" borderId="0" xfId="0" applyFont="1"/>
    <xf numFmtId="2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EB5D4A4-B4E5-4D7E-827B-CED39A0662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191E-3924-4629-B02F-9F058806EE2E}">
  <dimension ref="A1:DA39"/>
  <sheetViews>
    <sheetView tabSelected="1" topLeftCell="A4" workbookViewId="0">
      <selection activeCell="G33" sqref="G33:G35"/>
    </sheetView>
  </sheetViews>
  <sheetFormatPr defaultRowHeight="14.45"/>
  <cols>
    <col min="1" max="1" width="15.140625" bestFit="1" customWidth="1"/>
    <col min="2" max="2" width="9.7109375" bestFit="1" customWidth="1"/>
    <col min="3" max="3" width="18.7109375" bestFit="1" customWidth="1"/>
    <col min="4" max="4" width="16.5703125" bestFit="1" customWidth="1"/>
    <col min="5" max="5" width="15.28515625" bestFit="1" customWidth="1"/>
    <col min="16384" max="16384" width="8.7109375" bestFit="1" customWidth="1"/>
  </cols>
  <sheetData>
    <row r="1" spans="1:10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</v>
      </c>
      <c r="N1" t="s">
        <v>8</v>
      </c>
      <c r="O1" t="s">
        <v>9</v>
      </c>
      <c r="P1" t="s">
        <v>12</v>
      </c>
      <c r="Q1" t="s">
        <v>13</v>
      </c>
      <c r="R1" t="s">
        <v>7</v>
      </c>
      <c r="S1" t="s">
        <v>8</v>
      </c>
      <c r="T1" t="s">
        <v>9</v>
      </c>
      <c r="U1" t="s">
        <v>14</v>
      </c>
      <c r="V1" t="s">
        <v>15</v>
      </c>
      <c r="W1" t="s">
        <v>7</v>
      </c>
      <c r="X1" t="s">
        <v>8</v>
      </c>
      <c r="Y1" t="s">
        <v>9</v>
      </c>
      <c r="Z1" t="s">
        <v>16</v>
      </c>
      <c r="AA1" t="s">
        <v>17</v>
      </c>
      <c r="AB1" t="s">
        <v>7</v>
      </c>
      <c r="AC1" t="s">
        <v>8</v>
      </c>
      <c r="AD1" t="s">
        <v>9</v>
      </c>
      <c r="AE1" t="s">
        <v>18</v>
      </c>
      <c r="AF1" t="s">
        <v>19</v>
      </c>
      <c r="AG1" t="s">
        <v>7</v>
      </c>
      <c r="AH1" t="s">
        <v>8</v>
      </c>
      <c r="AI1" t="s">
        <v>9</v>
      </c>
      <c r="AJ1" t="s">
        <v>20</v>
      </c>
      <c r="AK1" t="s">
        <v>21</v>
      </c>
      <c r="AL1" t="s">
        <v>7</v>
      </c>
      <c r="AM1" t="s">
        <v>8</v>
      </c>
      <c r="AN1" t="s">
        <v>9</v>
      </c>
      <c r="AO1" t="s">
        <v>22</v>
      </c>
      <c r="AP1" t="s">
        <v>23</v>
      </c>
      <c r="AQ1" t="s">
        <v>7</v>
      </c>
      <c r="AR1" t="s">
        <v>8</v>
      </c>
      <c r="AS1" t="s">
        <v>9</v>
      </c>
      <c r="AT1" t="s">
        <v>24</v>
      </c>
      <c r="AU1" t="s">
        <v>25</v>
      </c>
      <c r="AV1" t="s">
        <v>7</v>
      </c>
      <c r="AW1" t="s">
        <v>8</v>
      </c>
      <c r="AX1" t="s">
        <v>9</v>
      </c>
      <c r="AY1" t="s">
        <v>26</v>
      </c>
      <c r="AZ1" t="s">
        <v>27</v>
      </c>
      <c r="BA1" t="s">
        <v>7</v>
      </c>
      <c r="BB1" t="s">
        <v>8</v>
      </c>
      <c r="BC1" t="s">
        <v>9</v>
      </c>
      <c r="BD1" t="s">
        <v>28</v>
      </c>
      <c r="BE1" t="s">
        <v>29</v>
      </c>
      <c r="BF1" t="s">
        <v>7</v>
      </c>
      <c r="BG1" t="s">
        <v>8</v>
      </c>
      <c r="BH1" t="s">
        <v>9</v>
      </c>
      <c r="BI1" t="s">
        <v>30</v>
      </c>
      <c r="BJ1" t="s">
        <v>31</v>
      </c>
      <c r="BK1" t="s">
        <v>7</v>
      </c>
      <c r="BL1" t="s">
        <v>8</v>
      </c>
      <c r="BM1" t="s">
        <v>9</v>
      </c>
      <c r="BN1" t="s">
        <v>32</v>
      </c>
      <c r="BO1" t="s">
        <v>33</v>
      </c>
      <c r="BP1" t="s">
        <v>7</v>
      </c>
      <c r="BQ1" t="s">
        <v>8</v>
      </c>
      <c r="BR1" t="s">
        <v>9</v>
      </c>
      <c r="BS1" t="s">
        <v>34</v>
      </c>
      <c r="BT1" t="s">
        <v>35</v>
      </c>
      <c r="BU1" t="s">
        <v>7</v>
      </c>
      <c r="BV1" t="s">
        <v>8</v>
      </c>
      <c r="BW1" t="s">
        <v>9</v>
      </c>
      <c r="BX1" t="s">
        <v>36</v>
      </c>
      <c r="BY1" t="s">
        <v>37</v>
      </c>
      <c r="BZ1" t="s">
        <v>7</v>
      </c>
      <c r="CA1" t="s">
        <v>8</v>
      </c>
      <c r="CB1" t="s">
        <v>9</v>
      </c>
      <c r="CC1" t="s">
        <v>38</v>
      </c>
      <c r="CD1" t="s">
        <v>39</v>
      </c>
      <c r="CE1" t="s">
        <v>7</v>
      </c>
      <c r="CF1" t="s">
        <v>8</v>
      </c>
      <c r="CG1" t="s">
        <v>9</v>
      </c>
      <c r="CH1" t="s">
        <v>40</v>
      </c>
      <c r="CI1" t="s">
        <v>41</v>
      </c>
      <c r="CJ1" t="s">
        <v>7</v>
      </c>
      <c r="CK1" t="s">
        <v>8</v>
      </c>
      <c r="CL1" t="s">
        <v>9</v>
      </c>
      <c r="CM1" t="s">
        <v>42</v>
      </c>
      <c r="CN1" t="s">
        <v>43</v>
      </c>
      <c r="CO1" t="s">
        <v>7</v>
      </c>
      <c r="CP1" t="s">
        <v>8</v>
      </c>
      <c r="CQ1" t="s">
        <v>9</v>
      </c>
      <c r="CR1" t="s">
        <v>44</v>
      </c>
      <c r="CS1" t="s">
        <v>45</v>
      </c>
      <c r="CT1" t="s">
        <v>7</v>
      </c>
      <c r="CU1" t="s">
        <v>8</v>
      </c>
      <c r="CV1" t="s">
        <v>9</v>
      </c>
      <c r="CW1" t="s">
        <v>46</v>
      </c>
      <c r="CX1" t="s">
        <v>47</v>
      </c>
      <c r="CY1" t="s">
        <v>7</v>
      </c>
      <c r="CZ1" t="s">
        <v>8</v>
      </c>
      <c r="DA1" t="s">
        <v>9</v>
      </c>
    </row>
    <row r="2" spans="1:105">
      <c r="A2" s="3">
        <v>45985.420451388891</v>
      </c>
      <c r="B2">
        <v>11</v>
      </c>
      <c r="C2" s="2">
        <f>ROUND(SUMIF($F$1:$CS$1, "Weighted Score", $F2:$CS2),2)</f>
        <v>26.73</v>
      </c>
      <c r="D2" t="s">
        <v>48</v>
      </c>
      <c r="E2" t="s">
        <v>49</v>
      </c>
      <c r="F2" t="s">
        <v>50</v>
      </c>
      <c r="G2">
        <v>0</v>
      </c>
      <c r="H2">
        <v>5</v>
      </c>
      <c r="I2" cm="1">
        <f t="array" ref="I2">_xlfn.IFS(H2=$E$25, $F$25, H2=$E$26, $F$26, H2=$E$27, $F$27, H2=$E$28, $F$28, H2=$E$29, $F$29, H2=$E$30, $F$30, H2=$E$31, $F$31)</f>
        <v>0.6</v>
      </c>
      <c r="J2">
        <f>1 - ((I2-G2)^2) + (1 *G2)</f>
        <v>0.64</v>
      </c>
      <c r="K2" t="s">
        <v>51</v>
      </c>
      <c r="L2">
        <v>1</v>
      </c>
      <c r="M2">
        <v>7</v>
      </c>
      <c r="N2" cm="1">
        <f t="array" ref="N2">_xlfn.IFS(M2=$E$25, $F$25, M2=$E$26, $F$26, M2=$E$27, $F$27, M2=$E$28, $F$28, M2=$E$29, $F$29, M2=$E$30, $F$30, M2=$E$31, $F$31)</f>
        <v>0.9</v>
      </c>
      <c r="O2">
        <f>1 - ((N2-L2)^2) + (1 *L2)</f>
        <v>1.99</v>
      </c>
      <c r="P2">
        <v>1998</v>
      </c>
      <c r="Q2">
        <v>1</v>
      </c>
      <c r="R2">
        <v>7</v>
      </c>
      <c r="S2" cm="1">
        <f t="array" ref="S2">_xlfn.IFS(R2=$E$25, $F$25, R2=$E$26, $F$26, R2=$E$27, $F$27, R2=$E$28, $F$28, R2=$E$29, $F$29, R2=$E$30, $F$30, R2=$E$31, $F$31)</f>
        <v>0.9</v>
      </c>
      <c r="T2">
        <f>1 - ((S2-Q2)^2) + (1 *Q2)</f>
        <v>1.99</v>
      </c>
      <c r="U2">
        <v>18</v>
      </c>
      <c r="V2">
        <v>1</v>
      </c>
      <c r="W2">
        <v>7</v>
      </c>
      <c r="X2" cm="1">
        <f t="array" ref="X2">_xlfn.IFS(W2=$E$25, $F$25, W2=$E$26, $F$26, W2=$E$27, $F$27, W2=$E$28, $F$28, W2=$E$29, $F$29, W2=$E$30, $F$30, W2=$E$31, $F$31)</f>
        <v>0.9</v>
      </c>
      <c r="Y2">
        <f>1 - ((X2-V2)^2) + (1 *V2)</f>
        <v>1.99</v>
      </c>
      <c r="Z2">
        <v>5</v>
      </c>
      <c r="AA2">
        <v>1</v>
      </c>
      <c r="AB2">
        <v>6</v>
      </c>
      <c r="AC2" cm="1">
        <f t="array" ref="AC2">_xlfn.IFS(AB2=$E$25, $F$25, AB2=$E$26, $F$26, AB2=$E$27, $F$27, AB2=$E$28, $F$28, AB2=$E$29, $F$29, AB2=$E$30, $F$30, AB2=$E$31, $F$31)</f>
        <v>0.75</v>
      </c>
      <c r="AD2">
        <f>1 - ((AC2-AA2)^2) + (1 *AA2)</f>
        <v>1.9375</v>
      </c>
      <c r="AE2" s="1">
        <v>0.2</v>
      </c>
      <c r="AF2">
        <v>1</v>
      </c>
      <c r="AG2">
        <v>7</v>
      </c>
      <c r="AH2" cm="1">
        <f t="array" ref="AH2">_xlfn.IFS(AG2=$E$25, $F$25, AG2=$E$26, $F$26, AG2=$E$27, $F$27, AG2=$E$28, $F$28, AG2=$E$29, $F$29, AG2=$E$30, $F$30, AG2=$E$31, $F$31)</f>
        <v>0.9</v>
      </c>
      <c r="AI2">
        <f>1 - ((AH2-AF2)^2) + (1 *AF2)</f>
        <v>1.99</v>
      </c>
      <c r="AJ2" t="s">
        <v>52</v>
      </c>
      <c r="AK2">
        <v>1</v>
      </c>
      <c r="AL2">
        <v>7</v>
      </c>
      <c r="AM2" cm="1">
        <f t="array" ref="AM2">_xlfn.IFS(AL2=$E$25, $F$25, AL2=$E$26, $F$26, AL2=$E$27, $F$27, AL2=$E$28, $F$28, AL2=$E$29, $F$29, AL2=$E$30, $F$30, AL2=$E$31, $F$31)</f>
        <v>0.9</v>
      </c>
      <c r="AN2">
        <f>1 - ((AM2-AK2)^2) + (1 *AK2)</f>
        <v>1.99</v>
      </c>
      <c r="AO2" t="s">
        <v>53</v>
      </c>
      <c r="AP2">
        <v>1</v>
      </c>
      <c r="AQ2">
        <v>7</v>
      </c>
      <c r="AR2" cm="1">
        <f t="array" ref="AR2">_xlfn.IFS(AQ2=$E$25, $F$25, AQ2=$E$26, $F$26, AQ2=$E$27, $F$27, AQ2=$E$28, $F$28, AQ2=$E$29, $F$29, AQ2=$E$30, $F$30, AQ2=$E$31, $F$31)</f>
        <v>0.9</v>
      </c>
      <c r="AS2">
        <f>1 - ((AR2-AP2)^2) + (1 *AP2)</f>
        <v>1.99</v>
      </c>
      <c r="AT2" t="s">
        <v>54</v>
      </c>
      <c r="AU2">
        <v>1</v>
      </c>
      <c r="AV2">
        <v>5</v>
      </c>
      <c r="AW2" cm="1">
        <f t="array" ref="AW2">_xlfn.IFS(AV2=$E$25, $F$25, AV2=$E$26, $F$26, AV2=$E$27, $F$27, AV2=$E$28, $F$28, AV2=$E$29, $F$29, AV2=$E$30, $F$30, AV2=$E$31, $F$31)</f>
        <v>0.6</v>
      </c>
      <c r="AX2">
        <f>1 - ((AW2-AU2)^2) + (1 *AU2)</f>
        <v>1.8399999999999999</v>
      </c>
      <c r="AY2" t="s">
        <v>55</v>
      </c>
      <c r="AZ2">
        <v>0</v>
      </c>
      <c r="BA2">
        <v>5</v>
      </c>
      <c r="BB2" cm="1">
        <f t="array" ref="BB2">_xlfn.IFS(BA2=$E$25, $F$25, BA2=$E$26, $F$26, BA2=$E$27, $F$27, BA2=$E$28, $F$28, BA2=$E$29, $F$29, BA2=$E$30, $F$30, BA2=$E$31, $F$31)</f>
        <v>0.6</v>
      </c>
      <c r="BC2">
        <f>1 - ((BB2-AZ2)^2) + (1 *AZ2)</f>
        <v>0.64</v>
      </c>
      <c r="BD2" t="s">
        <v>56</v>
      </c>
      <c r="BE2">
        <v>0</v>
      </c>
      <c r="BF2">
        <v>3</v>
      </c>
      <c r="BG2" cm="1">
        <f t="array" ref="BG2">_xlfn.IFS(BF2=$E$25, $F$25, BF2=$E$26, $F$26, BF2=$E$27, $F$27, BF2=$E$28, $F$28, BF2=$E$29, $F$29, BF2=$E$30, $F$30, BF2=$E$31, $F$31)</f>
        <v>0.4</v>
      </c>
      <c r="BH2">
        <f>1 - ((BG2-BE2)^2) + (1 *BE2)</f>
        <v>0.84</v>
      </c>
      <c r="BI2" t="s">
        <v>57</v>
      </c>
      <c r="BJ2">
        <v>0</v>
      </c>
      <c r="BK2">
        <v>3</v>
      </c>
      <c r="BL2" cm="1">
        <f t="array" ref="BL2">_xlfn.IFS(BK2=$E$25, $F$25, BK2=$E$26, $F$26, BK2=$E$27, $F$27, BK2=$E$28, $F$28, BK2=$E$29, $F$29, BK2=$E$30, $F$30, BK2=$E$31, $F$31)</f>
        <v>0.4</v>
      </c>
      <c r="BM2">
        <f>1 - ((BL2-BJ2)^2) + (1 *BJ2)</f>
        <v>0.84</v>
      </c>
      <c r="BN2" t="s">
        <v>58</v>
      </c>
      <c r="BO2">
        <v>0</v>
      </c>
      <c r="BP2">
        <v>3</v>
      </c>
      <c r="BQ2" cm="1">
        <f t="array" ref="BQ2">_xlfn.IFS(BP2=$E$25, $F$25, BP2=$E$26, $F$26, BP2=$E$27, $F$27, BP2=$E$28, $F$28, BP2=$E$29, $F$29, BP2=$E$30, $F$30, BP2=$E$31, $F$31)</f>
        <v>0.4</v>
      </c>
      <c r="BR2">
        <f>1 - ((BQ2-BO2)^2) + (1 *BO2)</f>
        <v>0.84</v>
      </c>
      <c r="BS2" t="s">
        <v>59</v>
      </c>
      <c r="BT2">
        <v>0</v>
      </c>
      <c r="BU2">
        <v>5</v>
      </c>
      <c r="BV2" cm="1">
        <f t="array" ref="BV2">_xlfn.IFS(BU2=$E$25, $F$25, BU2=$E$26, $F$26, BU2=$E$27, $F$27, BU2=$E$28, $F$28, BU2=$E$29, $F$29, BU2=$E$30, $F$30, BU2=$E$31, $F$31)</f>
        <v>0.6</v>
      </c>
      <c r="BW2">
        <f>1 - ((BV2-BT2)^2) + (1 *BT2)</f>
        <v>0.64</v>
      </c>
      <c r="BX2" t="s">
        <v>60</v>
      </c>
      <c r="BY2">
        <v>1</v>
      </c>
      <c r="BZ2">
        <v>7</v>
      </c>
      <c r="CA2" cm="1">
        <f t="array" ref="CA2">_xlfn.IFS(BZ2=$E$25, $F$25, BZ2=$E$26, $F$26, BZ2=$E$27, $F$27, BZ2=$E$28, $F$28, BZ2=$E$29, $F$29, BZ2=$E$30, $F$30, BZ2=$E$31, $F$31)</f>
        <v>0.9</v>
      </c>
      <c r="CB2">
        <f>1 - ((CA2-BY2)^2) + (1 *BY2)</f>
        <v>1.99</v>
      </c>
      <c r="CC2" t="s">
        <v>61</v>
      </c>
      <c r="CD2">
        <v>1</v>
      </c>
      <c r="CE2">
        <v>7</v>
      </c>
      <c r="CF2" cm="1">
        <f t="array" ref="CF2">_xlfn.IFS(CE2=$E$25, $F$25, CE2=$E$26, $F$26, CE2=$E$27, $F$27, CE2=$E$28, $F$28, CE2=$E$29, $F$29, CE2=$E$30, $F$30, CE2=$E$31, $F$31)</f>
        <v>0.9</v>
      </c>
      <c r="CG2">
        <f>1 - ((CF2-CD2)^2) + (1 *CD2)</f>
        <v>1.99</v>
      </c>
      <c r="CH2">
        <v>1980</v>
      </c>
      <c r="CI2">
        <v>1</v>
      </c>
      <c r="CJ2">
        <v>4</v>
      </c>
      <c r="CK2" cm="1">
        <f t="array" ref="CK2">_xlfn.IFS(CJ2=$E$25, $F$25, CJ2=$E$26, $F$26, CJ2=$E$27, $F$27, CJ2=$E$28, $F$28, CJ2=$E$29, $F$29, CJ2=$E$30, $F$30, CJ2=$E$31, $F$31)</f>
        <v>0.5</v>
      </c>
      <c r="CL2">
        <f>1 - ((CK2-CI2)^2) + (1 *CI2)</f>
        <v>1.75</v>
      </c>
      <c r="CM2" t="s">
        <v>62</v>
      </c>
      <c r="CN2">
        <v>0</v>
      </c>
      <c r="CO2">
        <v>3</v>
      </c>
      <c r="CP2" cm="1">
        <f t="array" ref="CP2">_xlfn.IFS(CO2=$E$25, $F$25, CO2=$E$26, $F$26, CO2=$E$27, $F$27, CO2=$E$28, $F$28, CO2=$E$29, $F$29, CO2=$E$30, $F$30, CO2=$E$31, $F$31)</f>
        <v>0.4</v>
      </c>
      <c r="CQ2">
        <f>1 - ((CP2-CN2)^2) + (1 *CN2)</f>
        <v>0.84</v>
      </c>
      <c r="CR2">
        <v>30</v>
      </c>
      <c r="CS2">
        <v>0</v>
      </c>
      <c r="CT2">
        <v>1</v>
      </c>
      <c r="CU2" cm="1">
        <f t="array" ref="CU2">_xlfn.IFS(CT2=$E$25, $F$25, CT2=$E$26, $F$26, CT2=$E$27, $F$27, CT2=$E$28, $F$28, CT2=$E$29, $F$29, CT2=$E$30, $F$30, CT2=$E$31, $F$31)</f>
        <v>0.1</v>
      </c>
      <c r="CV2">
        <f>1 - ((CU2-CS2)^2) + (1 *CS2)</f>
        <v>0.99</v>
      </c>
      <c r="CW2" t="s">
        <v>63</v>
      </c>
      <c r="CX2">
        <v>0</v>
      </c>
      <c r="CY2">
        <v>7</v>
      </c>
      <c r="CZ2" cm="1">
        <f t="array" ref="CZ2">_xlfn.IFS(CY2=$E$25, $F$25, CY2=$E$26, $F$26, CY2=$E$27, $F$27, CY2=$E$28, $F$28, CY2=$E$29, $F$29, CY2=$E$30, $F$30, CY2=$E$31, $F$31)</f>
        <v>0.9</v>
      </c>
      <c r="DA2">
        <f>1 - ((CZ2-CX2)^2) + (1 *CX2)</f>
        <v>0.18999999999999995</v>
      </c>
    </row>
    <row r="3" spans="1:105">
      <c r="A3" s="3">
        <v>45985.488877314812</v>
      </c>
      <c r="B3">
        <v>13</v>
      </c>
      <c r="C3" s="2">
        <f>ROUND(SUMIF($F$1:$CS$1, "Weighted Score", $F3:$CS3),2)</f>
        <v>26.38</v>
      </c>
      <c r="D3" t="s">
        <v>64</v>
      </c>
      <c r="E3" t="s">
        <v>65</v>
      </c>
      <c r="F3" t="s">
        <v>50</v>
      </c>
      <c r="G3">
        <v>0</v>
      </c>
      <c r="H3">
        <v>7</v>
      </c>
      <c r="I3" cm="1">
        <f t="array" ref="I3">_xlfn.IFS(H3=$E$25, $F$25, H3=$E$26, $F$26, H3=$E$27, $F$27, H3=$E$28, $F$28, H3=$E$29, $F$29, H3=$E$30, $F$30, H3=$E$31, $F$31)</f>
        <v>0.9</v>
      </c>
      <c r="J3">
        <f>1 - ((I3-G3)^2) + (1 *G3)</f>
        <v>0.18999999999999995</v>
      </c>
      <c r="K3" t="s">
        <v>51</v>
      </c>
      <c r="L3">
        <v>1</v>
      </c>
      <c r="M3">
        <v>5</v>
      </c>
      <c r="N3" cm="1">
        <f t="array" ref="N3">_xlfn.IFS(M3=$E$25, $F$25, M3=$E$26, $F$26, M3=$E$27, $F$27, M3=$E$28, $F$28, M3=$E$29, $F$29, M3=$E$30, $F$30, M3=$E$31, $F$31)</f>
        <v>0.6</v>
      </c>
      <c r="O3">
        <f>1 - ((N3-L3)^2) + (1 *L3)</f>
        <v>1.8399999999999999</v>
      </c>
      <c r="P3">
        <v>1998</v>
      </c>
      <c r="Q3">
        <v>1</v>
      </c>
      <c r="R3">
        <v>3</v>
      </c>
      <c r="S3" cm="1">
        <f t="array" ref="S3">_xlfn.IFS(R3=$E$25, $F$25, R3=$E$26, $F$26, R3=$E$27, $F$27, R3=$E$28, $F$28, R3=$E$29, $F$29, R3=$E$30, $F$30, R3=$E$31, $F$31)</f>
        <v>0.4</v>
      </c>
      <c r="T3">
        <f>1 - ((S3-Q3)^2) + (1 *Q3)</f>
        <v>1.6400000000000001</v>
      </c>
      <c r="U3">
        <v>18</v>
      </c>
      <c r="V3">
        <v>1</v>
      </c>
      <c r="W3">
        <v>7</v>
      </c>
      <c r="X3" cm="1">
        <f t="array" ref="X3">_xlfn.IFS(W3=$E$25, $F$25, W3=$E$26, $F$26, W3=$E$27, $F$27, W3=$E$28, $F$28, W3=$E$29, $F$29, W3=$E$30, $F$30, W3=$E$31, $F$31)</f>
        <v>0.9</v>
      </c>
      <c r="Y3">
        <f>1 - ((X3-V3)^2) + (1 *V3)</f>
        <v>1.99</v>
      </c>
      <c r="Z3" t="s">
        <v>66</v>
      </c>
      <c r="AA3">
        <v>1</v>
      </c>
      <c r="AB3">
        <v>5</v>
      </c>
      <c r="AC3" cm="1">
        <f t="array" ref="AC3">_xlfn.IFS(AB3=$E$25, $F$25, AB3=$E$26, $F$26, AB3=$E$27, $F$27, AB3=$E$28, $F$28, AB3=$E$29, $F$29, AB3=$E$30, $F$30, AB3=$E$31, $F$31)</f>
        <v>0.6</v>
      </c>
      <c r="AD3">
        <f>1 - ((AC3-AA3)^2) + (1 *AA3)</f>
        <v>1.8399999999999999</v>
      </c>
      <c r="AE3" s="1">
        <v>0.2</v>
      </c>
      <c r="AF3">
        <v>1</v>
      </c>
      <c r="AG3">
        <v>5</v>
      </c>
      <c r="AH3" cm="1">
        <f t="array" ref="AH3">_xlfn.IFS(AG3=$E$25, $F$25, AG3=$E$26, $F$26, AG3=$E$27, $F$27, AG3=$E$28, $F$28, AG3=$E$29, $F$29, AG3=$E$30, $F$30, AG3=$E$31, $F$31)</f>
        <v>0.6</v>
      </c>
      <c r="AI3">
        <f>1 - ((AH3-AF3)^2) + (1 *AF3)</f>
        <v>1.8399999999999999</v>
      </c>
      <c r="AJ3" t="s">
        <v>52</v>
      </c>
      <c r="AK3">
        <v>1</v>
      </c>
      <c r="AL3">
        <v>5</v>
      </c>
      <c r="AM3" cm="1">
        <f t="array" ref="AM3">_xlfn.IFS(AL3=$E$25, $F$25, AL3=$E$26, $F$26, AL3=$E$27, $F$27, AL3=$E$28, $F$28, AL3=$E$29, $F$29, AL3=$E$30, $F$30, AL3=$E$31, $F$31)</f>
        <v>0.6</v>
      </c>
      <c r="AN3">
        <f>1 - ((AM3-AK3)^2) + (1 *AK3)</f>
        <v>1.8399999999999999</v>
      </c>
      <c r="AO3" t="s">
        <v>67</v>
      </c>
      <c r="AP3">
        <v>0</v>
      </c>
      <c r="AQ3">
        <v>3</v>
      </c>
      <c r="AR3" cm="1">
        <f t="array" ref="AR3">_xlfn.IFS(AQ3=$E$25, $F$25, AQ3=$E$26, $F$26, AQ3=$E$27, $F$27, AQ3=$E$28, $F$28, AQ3=$E$29, $F$29, AQ3=$E$30, $F$30, AQ3=$E$31, $F$31)</f>
        <v>0.4</v>
      </c>
      <c r="AS3">
        <f>1 - ((AR3-AP3)^2) + (1 *AP3)</f>
        <v>0.84</v>
      </c>
      <c r="AT3" t="s">
        <v>54</v>
      </c>
      <c r="AU3">
        <v>1</v>
      </c>
      <c r="AV3">
        <v>5</v>
      </c>
      <c r="AW3" cm="1">
        <f t="array" ref="AW3">_xlfn.IFS(AV3=$E$25, $F$25, AV3=$E$26, $F$26, AV3=$E$27, $F$27, AV3=$E$28, $F$28, AV3=$E$29, $F$29, AV3=$E$30, $F$30, AV3=$E$31, $F$31)</f>
        <v>0.6</v>
      </c>
      <c r="AX3">
        <f>1 - ((AW3-AU3)^2) + (1 *AU3)</f>
        <v>1.8399999999999999</v>
      </c>
      <c r="AY3" t="s">
        <v>68</v>
      </c>
      <c r="AZ3">
        <v>1</v>
      </c>
      <c r="BA3">
        <v>5</v>
      </c>
      <c r="BB3" cm="1">
        <f t="array" ref="BB3">_xlfn.IFS(BA3=$E$25, $F$25, BA3=$E$26, $F$26, BA3=$E$27, $F$27, BA3=$E$28, $F$28, BA3=$E$29, $F$29, BA3=$E$30, $F$30, BA3=$E$31, $F$31)</f>
        <v>0.6</v>
      </c>
      <c r="BC3">
        <f>1 - ((BB3-AZ3)^2) + (1 *AZ3)</f>
        <v>1.8399999999999999</v>
      </c>
      <c r="BD3">
        <v>1960</v>
      </c>
      <c r="BE3">
        <v>0</v>
      </c>
      <c r="BF3">
        <v>1</v>
      </c>
      <c r="BG3" cm="1">
        <f t="array" ref="BG3">_xlfn.IFS(BF3=$E$25, $F$25, BF3=$E$26, $F$26, BF3=$E$27, $F$27, BF3=$E$28, $F$28, BF3=$E$29, $F$29, BF3=$E$30, $F$30, BF3=$E$31, $F$31)</f>
        <v>0.1</v>
      </c>
      <c r="BH3">
        <f>1 - ((BG3-BE3)^2) + (1 *BE3)</f>
        <v>0.99</v>
      </c>
      <c r="BI3" t="s">
        <v>69</v>
      </c>
      <c r="BJ3">
        <v>0</v>
      </c>
      <c r="BK3">
        <v>1</v>
      </c>
      <c r="BL3" cm="1">
        <f t="array" ref="BL3">_xlfn.IFS(BK3=$E$25, $F$25, BK3=$E$26, $F$26, BK3=$E$27, $F$27, BK3=$E$28, $F$28, BK3=$E$29, $F$29, BK3=$E$30, $F$30, BK3=$E$31, $F$31)</f>
        <v>0.1</v>
      </c>
      <c r="BM3">
        <f>1 - ((BL3-BJ3)^2) + (1 *BJ3)</f>
        <v>0.99</v>
      </c>
      <c r="BN3" t="s">
        <v>70</v>
      </c>
      <c r="BO3">
        <v>0</v>
      </c>
      <c r="BP3">
        <v>5</v>
      </c>
      <c r="BQ3" cm="1">
        <f t="array" ref="BQ3">_xlfn.IFS(BP3=$E$25, $F$25, BP3=$E$26, $F$26, BP3=$E$27, $F$27, BP3=$E$28, $F$28, BP3=$E$29, $F$29, BP3=$E$30, $F$30, BP3=$E$31, $F$31)</f>
        <v>0.6</v>
      </c>
      <c r="BR3">
        <f>1 - ((BQ3-BO3)^2) + (1 *BO3)</f>
        <v>0.64</v>
      </c>
      <c r="BS3" t="s">
        <v>71</v>
      </c>
      <c r="BT3">
        <v>1</v>
      </c>
      <c r="BU3">
        <v>3</v>
      </c>
      <c r="BV3" cm="1">
        <f t="array" ref="BV3">_xlfn.IFS(BU3=$E$25, $F$25, BU3=$E$26, $F$26, BU3=$E$27, $F$27, BU3=$E$28, $F$28, BU3=$E$29, $F$29, BU3=$E$30, $F$30, BU3=$E$31, $F$31)</f>
        <v>0.4</v>
      </c>
      <c r="BW3">
        <f>1 - ((BV3-BT3)^2) + (1 *BT3)</f>
        <v>1.6400000000000001</v>
      </c>
      <c r="BX3" t="s">
        <v>60</v>
      </c>
      <c r="BY3">
        <v>1</v>
      </c>
      <c r="BZ3">
        <v>7</v>
      </c>
      <c r="CA3" cm="1">
        <f t="array" ref="CA3">_xlfn.IFS(BZ3=$E$25, $F$25, BZ3=$E$26, $F$26, BZ3=$E$27, $F$27, BZ3=$E$28, $F$28, BZ3=$E$29, $F$29, BZ3=$E$30, $F$30, BZ3=$E$31, $F$31)</f>
        <v>0.9</v>
      </c>
      <c r="CB3">
        <f>1 - ((CA3-BY3)^2) + (1 *BY3)</f>
        <v>1.99</v>
      </c>
      <c r="CC3" t="s">
        <v>61</v>
      </c>
      <c r="CD3">
        <v>1</v>
      </c>
      <c r="CE3">
        <v>5</v>
      </c>
      <c r="CF3" cm="1">
        <f t="array" ref="CF3">_xlfn.IFS(CE3=$E$25, $F$25, CE3=$E$26, $F$26, CE3=$E$27, $F$27, CE3=$E$28, $F$28, CE3=$E$29, $F$29, CE3=$E$30, $F$30, CE3=$E$31, $F$31)</f>
        <v>0.6</v>
      </c>
      <c r="CG3">
        <f>1 - ((CF3-CD3)^2) + (1 *CD3)</f>
        <v>1.8399999999999999</v>
      </c>
      <c r="CH3">
        <v>1980</v>
      </c>
      <c r="CI3">
        <v>1</v>
      </c>
      <c r="CJ3">
        <v>4</v>
      </c>
      <c r="CK3" cm="1">
        <f t="array" ref="CK3">_xlfn.IFS(CJ3=$E$25, $F$25, CJ3=$E$26, $F$26, CJ3=$E$27, $F$27, CJ3=$E$28, $F$28, CJ3=$E$29, $F$29, CJ3=$E$30, $F$30, CJ3=$E$31, $F$31)</f>
        <v>0.5</v>
      </c>
      <c r="CL3">
        <f>1 - ((CK3-CI3)^2) + (1 *CI3)</f>
        <v>1.75</v>
      </c>
      <c r="CM3" t="s">
        <v>72</v>
      </c>
      <c r="CN3">
        <v>0</v>
      </c>
      <c r="CO3">
        <v>3</v>
      </c>
      <c r="CP3" cm="1">
        <f t="array" ref="CP3">_xlfn.IFS(CO3=$E$25, $F$25, CO3=$E$26, $F$26, CO3=$E$27, $F$27, CO3=$E$28, $F$28, CO3=$E$29, $F$29, CO3=$E$30, $F$30, CO3=$E$31, $F$31)</f>
        <v>0.4</v>
      </c>
      <c r="CQ3">
        <f>1 - ((CP3-CN3)^2) + (1 *CN3)</f>
        <v>0.84</v>
      </c>
      <c r="CR3">
        <v>12</v>
      </c>
      <c r="CS3">
        <v>1</v>
      </c>
      <c r="CT3">
        <v>1</v>
      </c>
      <c r="CU3" cm="1">
        <f t="array" ref="CU3">_xlfn.IFS(CT3=$E$25, $F$25, CT3=$E$26, $F$26, CT3=$E$27, $F$27, CT3=$E$28, $F$28, CT3=$E$29, $F$29, CT3=$E$30, $F$30, CT3=$E$31, $F$31)</f>
        <v>0.1</v>
      </c>
      <c r="CV3">
        <f>1 - ((CU3-CS3)^2) + (1 *CS3)</f>
        <v>1.19</v>
      </c>
      <c r="CW3" t="s">
        <v>73</v>
      </c>
      <c r="CX3">
        <v>0</v>
      </c>
      <c r="CY3">
        <v>1</v>
      </c>
      <c r="CZ3" cm="1">
        <f t="array" ref="CZ3">_xlfn.IFS(CY3=$E$25, $F$25, CY3=$E$26, $F$26, CY3=$E$27, $F$27, CY3=$E$28, $F$28, CY3=$E$29, $F$29, CY3=$E$30, $F$30, CY3=$E$31, $F$31)</f>
        <v>0.1</v>
      </c>
      <c r="DA3">
        <f>1 - ((CZ3-CX3)^2) + (1 *CX3)</f>
        <v>0.99</v>
      </c>
    </row>
    <row r="4" spans="1:105">
      <c r="A4" s="3">
        <v>45985.538159722222</v>
      </c>
      <c r="B4">
        <v>9</v>
      </c>
      <c r="C4" s="2">
        <f>ROUND(SUMIF($F$1:$CS$1, "Weighted Score", $F4:$CS4),2)</f>
        <v>22.52</v>
      </c>
      <c r="D4" t="s">
        <v>74</v>
      </c>
      <c r="E4" t="s">
        <v>75</v>
      </c>
      <c r="F4" t="s">
        <v>76</v>
      </c>
      <c r="G4">
        <v>0</v>
      </c>
      <c r="H4">
        <v>5</v>
      </c>
      <c r="I4" cm="1">
        <f t="array" ref="I4">_xlfn.IFS(H4=$E$25, $F$25, H4=$E$26, $F$26, H4=$E$27, $F$27, H4=$E$28, $F$28, H4=$E$29, $F$29, H4=$E$30, $F$30, H4=$E$31, $F$31)</f>
        <v>0.6</v>
      </c>
      <c r="J4">
        <f>1 - ((I4-G4)^2) + (1 *G4)</f>
        <v>0.64</v>
      </c>
      <c r="K4" t="s">
        <v>51</v>
      </c>
      <c r="L4">
        <v>1</v>
      </c>
      <c r="M4">
        <v>1</v>
      </c>
      <c r="N4" cm="1">
        <f t="array" ref="N4">_xlfn.IFS(M4=$E$25, $F$25, M4=$E$26, $F$26, M4=$E$27, $F$27, M4=$E$28, $F$28, M4=$E$29, $F$29, M4=$E$30, $F$30, M4=$E$31, $F$31)</f>
        <v>0.1</v>
      </c>
      <c r="O4">
        <f>1 - ((N4-L4)^2) + (1 *L4)</f>
        <v>1.19</v>
      </c>
      <c r="P4">
        <v>1980</v>
      </c>
      <c r="Q4">
        <v>0</v>
      </c>
      <c r="R4">
        <v>2</v>
      </c>
      <c r="S4" cm="1">
        <f t="array" ref="S4">_xlfn.IFS(R4=$E$25, $F$25, R4=$E$26, $F$26, R4=$E$27, $F$27, R4=$E$28, $F$28, R4=$E$29, $F$29, R4=$E$30, $F$30, R4=$E$31, $F$31)</f>
        <v>0.25</v>
      </c>
      <c r="T4">
        <f>1 - ((S4-Q4)^2) + (1 *Q4)</f>
        <v>0.9375</v>
      </c>
      <c r="U4">
        <v>18</v>
      </c>
      <c r="V4">
        <v>1</v>
      </c>
      <c r="W4">
        <v>7</v>
      </c>
      <c r="X4" cm="1">
        <f t="array" ref="X4">_xlfn.IFS(W4=$E$25, $F$25, W4=$E$26, $F$26, W4=$E$27, $F$27, W4=$E$28, $F$28, W4=$E$29, $F$29, W4=$E$30, $F$30, W4=$E$31, $F$31)</f>
        <v>0.9</v>
      </c>
      <c r="Y4">
        <f>1 - ((X4-V4)^2) + (1 *V4)</f>
        <v>1.99</v>
      </c>
      <c r="Z4">
        <v>5</v>
      </c>
      <c r="AA4">
        <v>1</v>
      </c>
      <c r="AB4">
        <v>7</v>
      </c>
      <c r="AC4" cm="1">
        <f t="array" ref="AC4">_xlfn.IFS(AB4=$E$25, $F$25, AB4=$E$26, $F$26, AB4=$E$27, $F$27, AB4=$E$28, $F$28, AB4=$E$29, $F$29, AB4=$E$30, $F$30, AB4=$E$31, $F$31)</f>
        <v>0.9</v>
      </c>
      <c r="AD4">
        <f>1 - ((AC4-AA4)^2) + (1 *AA4)</f>
        <v>1.99</v>
      </c>
      <c r="AE4" s="1">
        <v>0.15</v>
      </c>
      <c r="AF4">
        <v>0</v>
      </c>
      <c r="AG4">
        <v>6</v>
      </c>
      <c r="AH4" cm="1">
        <f t="array" ref="AH4">_xlfn.IFS(AG4=$E$25, $F$25, AG4=$E$26, $F$26, AG4=$E$27, $F$27, AG4=$E$28, $F$28, AG4=$E$29, $F$29, AG4=$E$30, $F$30, AG4=$E$31, $F$31)</f>
        <v>0.75</v>
      </c>
      <c r="AI4">
        <f>1 - ((AH4-AF4)^2) + (1 *AF4)</f>
        <v>0.4375</v>
      </c>
      <c r="AJ4" t="s">
        <v>52</v>
      </c>
      <c r="AK4">
        <v>1</v>
      </c>
      <c r="AL4">
        <v>7</v>
      </c>
      <c r="AM4" cm="1">
        <f t="array" ref="AM4">_xlfn.IFS(AL4=$E$25, $F$25, AL4=$E$26, $F$26, AL4=$E$27, $F$27, AL4=$E$28, $F$28, AL4=$E$29, $F$29, AL4=$E$30, $F$30, AL4=$E$31, $F$31)</f>
        <v>0.9</v>
      </c>
      <c r="AN4">
        <f>1 - ((AM4-AK4)^2) + (1 *AK4)</f>
        <v>1.99</v>
      </c>
      <c r="AO4" t="s">
        <v>77</v>
      </c>
      <c r="AP4">
        <v>0</v>
      </c>
      <c r="AQ4">
        <v>2</v>
      </c>
      <c r="AR4" cm="1">
        <f t="array" ref="AR4">_xlfn.IFS(AQ4=$E$25, $F$25, AQ4=$E$26, $F$26, AQ4=$E$27, $F$27, AQ4=$E$28, $F$28, AQ4=$E$29, $F$29, AQ4=$E$30, $F$30, AQ4=$E$31, $F$31)</f>
        <v>0.25</v>
      </c>
      <c r="AS4">
        <f>1 - ((AR4-AP4)^2) + (1 *AP4)</f>
        <v>0.9375</v>
      </c>
      <c r="AT4" t="s">
        <v>78</v>
      </c>
      <c r="AU4">
        <v>0</v>
      </c>
      <c r="AV4">
        <v>4</v>
      </c>
      <c r="AW4" cm="1">
        <f t="array" ref="AW4">_xlfn.IFS(AV4=$E$25, $F$25, AV4=$E$26, $F$26, AV4=$E$27, $F$27, AV4=$E$28, $F$28, AV4=$E$29, $F$29, AV4=$E$30, $F$30, AV4=$E$31, $F$31)</f>
        <v>0.5</v>
      </c>
      <c r="AX4">
        <f>1 - ((AW4-AU4)^2) + (1 *AU4)</f>
        <v>0.75</v>
      </c>
      <c r="AY4" t="s">
        <v>68</v>
      </c>
      <c r="AZ4">
        <v>1</v>
      </c>
      <c r="BA4">
        <v>7</v>
      </c>
      <c r="BB4" cm="1">
        <f t="array" ref="BB4">_xlfn.IFS(BA4=$E$25, $F$25, BA4=$E$26, $F$26, BA4=$E$27, $F$27, BA4=$E$28, $F$28, BA4=$E$29, $F$29, BA4=$E$30, $F$30, BA4=$E$31, $F$31)</f>
        <v>0.9</v>
      </c>
      <c r="BC4">
        <f>1 - ((BB4-AZ4)^2) + (1 *AZ4)</f>
        <v>1.99</v>
      </c>
      <c r="BD4" t="s">
        <v>79</v>
      </c>
      <c r="BE4">
        <v>0</v>
      </c>
      <c r="BF4">
        <v>7</v>
      </c>
      <c r="BG4" cm="1">
        <f t="array" ref="BG4">_xlfn.IFS(BF4=$E$25, $F$25, BF4=$E$26, $F$26, BF4=$E$27, $F$27, BF4=$E$28, $F$28, BF4=$E$29, $F$29, BF4=$E$30, $F$30, BF4=$E$31, $F$31)</f>
        <v>0.9</v>
      </c>
      <c r="BH4">
        <f>1 - ((BG4-BE4)^2) + (1 *BE4)</f>
        <v>0.18999999999999995</v>
      </c>
      <c r="BI4" t="s">
        <v>80</v>
      </c>
      <c r="BJ4">
        <v>0</v>
      </c>
      <c r="BK4">
        <v>2</v>
      </c>
      <c r="BL4" cm="1">
        <f t="array" ref="BL4">_xlfn.IFS(BK4=$E$25, $F$25, BK4=$E$26, $F$26, BK4=$E$27, $F$27, BK4=$E$28, $F$28, BK4=$E$29, $F$29, BK4=$E$30, $F$30, BK4=$E$31, $F$31)</f>
        <v>0.25</v>
      </c>
      <c r="BM4">
        <f>1 - ((BL4-BJ4)^2) + (1 *BJ4)</f>
        <v>0.9375</v>
      </c>
      <c r="BN4" t="s">
        <v>58</v>
      </c>
      <c r="BO4">
        <v>0</v>
      </c>
      <c r="BP4">
        <v>2</v>
      </c>
      <c r="BQ4" cm="1">
        <f t="array" ref="BQ4">_xlfn.IFS(BP4=$E$25, $F$25, BP4=$E$26, $F$26, BP4=$E$27, $F$27, BP4=$E$28, $F$28, BP4=$E$29, $F$29, BP4=$E$30, $F$30, BP4=$E$31, $F$31)</f>
        <v>0.25</v>
      </c>
      <c r="BR4">
        <f>1 - ((BQ4-BO4)^2) + (1 *BO4)</f>
        <v>0.9375</v>
      </c>
      <c r="BS4" t="s">
        <v>81</v>
      </c>
      <c r="BT4">
        <v>0</v>
      </c>
      <c r="BU4">
        <v>2</v>
      </c>
      <c r="BV4" cm="1">
        <f t="array" ref="BV4">_xlfn.IFS(BU4=$E$25, $F$25, BU4=$E$26, $F$26, BU4=$E$27, $F$27, BU4=$E$28, $F$28, BU4=$E$29, $F$29, BU4=$E$30, $F$30, BU4=$E$31, $F$31)</f>
        <v>0.25</v>
      </c>
      <c r="BW4">
        <f>1 - ((BV4-BT4)^2) + (1 *BT4)</f>
        <v>0.9375</v>
      </c>
      <c r="BX4" t="s">
        <v>60</v>
      </c>
      <c r="BY4">
        <v>1</v>
      </c>
      <c r="BZ4">
        <v>7</v>
      </c>
      <c r="CA4" cm="1">
        <f t="array" ref="CA4">_xlfn.IFS(BZ4=$E$25, $F$25, BZ4=$E$26, $F$26, BZ4=$E$27, $F$27, BZ4=$E$28, $F$28, BZ4=$E$29, $F$29, BZ4=$E$30, $F$30, BZ4=$E$31, $F$31)</f>
        <v>0.9</v>
      </c>
      <c r="CB4">
        <f>1 - ((CA4-BY4)^2) + (1 *BY4)</f>
        <v>1.99</v>
      </c>
      <c r="CC4" t="s">
        <v>61</v>
      </c>
      <c r="CD4">
        <v>1</v>
      </c>
      <c r="CE4">
        <v>7</v>
      </c>
      <c r="CF4" cm="1">
        <f t="array" ref="CF4">_xlfn.IFS(CE4=$E$25, $F$25, CE4=$E$26, $F$26, CE4=$E$27, $F$27, CE4=$E$28, $F$28, CE4=$E$29, $F$29, CE4=$E$30, $F$30, CE4=$E$31, $F$31)</f>
        <v>0.9</v>
      </c>
      <c r="CG4">
        <f>1 - ((CF4-CD4)^2) + (1 *CD4)</f>
        <v>1.99</v>
      </c>
      <c r="CH4">
        <v>1980</v>
      </c>
      <c r="CI4">
        <v>1</v>
      </c>
      <c r="CJ4">
        <v>5</v>
      </c>
      <c r="CK4" cm="1">
        <f t="array" ref="CK4">_xlfn.IFS(CJ4=$E$25, $F$25, CJ4=$E$26, $F$26, CJ4=$E$27, $F$27, CJ4=$E$28, $F$28, CJ4=$E$29, $F$29, CJ4=$E$30, $F$30, CJ4=$E$31, $F$31)</f>
        <v>0.6</v>
      </c>
      <c r="CL4">
        <f>1 - ((CK4-CI4)^2) + (1 *CI4)</f>
        <v>1.8399999999999999</v>
      </c>
      <c r="CM4" t="s">
        <v>62</v>
      </c>
      <c r="CN4">
        <v>0</v>
      </c>
      <c r="CO4">
        <v>3</v>
      </c>
      <c r="CP4" cm="1">
        <f t="array" ref="CP4">_xlfn.IFS(CO4=$E$25, $F$25, CO4=$E$26, $F$26, CO4=$E$27, $F$27, CO4=$E$28, $F$28, CO4=$E$29, $F$29, CO4=$E$30, $F$30, CO4=$E$31, $F$31)</f>
        <v>0.4</v>
      </c>
      <c r="CQ4">
        <f>1 - ((CP4-CN4)^2) + (1 *CN4)</f>
        <v>0.84</v>
      </c>
      <c r="CR4">
        <v>12</v>
      </c>
      <c r="CS4">
        <v>1</v>
      </c>
      <c r="CT4">
        <v>7</v>
      </c>
      <c r="CU4" cm="1">
        <f t="array" ref="CU4">_xlfn.IFS(CT4=$E$25, $F$25, CT4=$E$26, $F$26, CT4=$E$27, $F$27, CT4=$E$28, $F$28, CT4=$E$29, $F$29, CT4=$E$30, $F$30, CT4=$E$31, $F$31)</f>
        <v>0.9</v>
      </c>
      <c r="CV4">
        <f>1 - ((CU4-CS4)^2) + (1 *CS4)</f>
        <v>1.99</v>
      </c>
      <c r="CW4" t="s">
        <v>82</v>
      </c>
      <c r="CX4">
        <v>0</v>
      </c>
      <c r="CY4">
        <v>7</v>
      </c>
      <c r="CZ4" cm="1">
        <f t="array" ref="CZ4">_xlfn.IFS(CY4=$E$25, $F$25, CY4=$E$26, $F$26, CY4=$E$27, $F$27, CY4=$E$28, $F$28, CY4=$E$29, $F$29, CY4=$E$30, $F$30, CY4=$E$31, $F$31)</f>
        <v>0.9</v>
      </c>
      <c r="DA4">
        <f>1 - ((CZ4-CX4)^2) + (1 *CX4)</f>
        <v>0.18999999999999995</v>
      </c>
    </row>
    <row r="5" spans="1:105">
      <c r="A5" s="3">
        <v>45985.569328703707</v>
      </c>
      <c r="B5">
        <v>17</v>
      </c>
      <c r="C5" s="2">
        <f>ROUND(SUMIF($F$1:$CS$1, "Weighted Score", $F5:$CS5),2)</f>
        <v>31.96</v>
      </c>
      <c r="D5" t="s">
        <v>83</v>
      </c>
      <c r="E5" t="s">
        <v>84</v>
      </c>
      <c r="F5" t="s">
        <v>85</v>
      </c>
      <c r="G5">
        <v>1</v>
      </c>
      <c r="H5">
        <v>6</v>
      </c>
      <c r="I5" cm="1">
        <f t="array" ref="I5">_xlfn.IFS(H5=$E$25, $F$25, H5=$E$26, $F$26, H5=$E$27, $F$27, H5=$E$28, $F$28, H5=$E$29, $F$29, H5=$E$30, $F$30, H5=$E$31, $F$31)</f>
        <v>0.75</v>
      </c>
      <c r="J5">
        <f>1 - ((I5-G5)^2) + (1 *G5)</f>
        <v>1.9375</v>
      </c>
      <c r="K5" t="s">
        <v>51</v>
      </c>
      <c r="L5">
        <v>1</v>
      </c>
      <c r="M5">
        <v>7</v>
      </c>
      <c r="N5" cm="1">
        <f t="array" ref="N5">_xlfn.IFS(M5=$E$25, $F$25, M5=$E$26, $F$26, M5=$E$27, $F$27, M5=$E$28, $F$28, M5=$E$29, $F$29, M5=$E$30, $F$30, M5=$E$31, $F$31)</f>
        <v>0.9</v>
      </c>
      <c r="O5">
        <f>1 - ((N5-L5)^2) + (1 *L5)</f>
        <v>1.99</v>
      </c>
      <c r="P5">
        <v>1980</v>
      </c>
      <c r="Q5">
        <v>0</v>
      </c>
      <c r="R5">
        <v>5</v>
      </c>
      <c r="S5" cm="1">
        <f t="array" ref="S5">_xlfn.IFS(R5=$E$25, $F$25, R5=$E$26, $F$26, R5=$E$27, $F$27, R5=$E$28, $F$28, R5=$E$29, $F$29, R5=$E$30, $F$30, R5=$E$31, $F$31)</f>
        <v>0.6</v>
      </c>
      <c r="T5">
        <f>1 - ((S5-Q5)^2) + (1 *Q5)</f>
        <v>0.64</v>
      </c>
      <c r="U5">
        <v>18</v>
      </c>
      <c r="V5">
        <v>1</v>
      </c>
      <c r="W5">
        <v>7</v>
      </c>
      <c r="X5" cm="1">
        <f t="array" ref="X5">_xlfn.IFS(W5=$E$25, $F$25, W5=$E$26, $F$26, W5=$E$27, $F$27, W5=$E$28, $F$28, W5=$E$29, $F$29, W5=$E$30, $F$30, W5=$E$31, $F$31)</f>
        <v>0.9</v>
      </c>
      <c r="Y5">
        <f>1 - ((X5-V5)^2) + (1 *V5)</f>
        <v>1.99</v>
      </c>
      <c r="Z5" t="s">
        <v>66</v>
      </c>
      <c r="AA5">
        <v>1</v>
      </c>
      <c r="AB5">
        <v>7</v>
      </c>
      <c r="AC5" cm="1">
        <f t="array" ref="AC5">_xlfn.IFS(AB5=$E$25, $F$25, AB5=$E$26, $F$26, AB5=$E$27, $F$27, AB5=$E$28, $F$28, AB5=$E$29, $F$29, AB5=$E$30, $F$30, AB5=$E$31, $F$31)</f>
        <v>0.9</v>
      </c>
      <c r="AD5">
        <f>1 - ((AC5-AA5)^2) + (1 *AA5)</f>
        <v>1.99</v>
      </c>
      <c r="AE5" s="1">
        <v>0.2</v>
      </c>
      <c r="AF5">
        <v>1</v>
      </c>
      <c r="AG5">
        <v>7</v>
      </c>
      <c r="AH5" cm="1">
        <f t="array" ref="AH5">_xlfn.IFS(AG5=$E$25, $F$25, AG5=$E$26, $F$26, AG5=$E$27, $F$27, AG5=$E$28, $F$28, AG5=$E$29, $F$29, AG5=$E$30, $F$30, AG5=$E$31, $F$31)</f>
        <v>0.9</v>
      </c>
      <c r="AI5">
        <f>1 - ((AH5-AF5)^2) + (1 *AF5)</f>
        <v>1.99</v>
      </c>
      <c r="AJ5" t="s">
        <v>52</v>
      </c>
      <c r="AK5">
        <v>1</v>
      </c>
      <c r="AL5">
        <v>7</v>
      </c>
      <c r="AM5" cm="1">
        <f t="array" ref="AM5">_xlfn.IFS(AL5=$E$25, $F$25, AL5=$E$26, $F$26, AL5=$E$27, $F$27, AL5=$E$28, $F$28, AL5=$E$29, $F$29, AL5=$E$30, $F$30, AL5=$E$31, $F$31)</f>
        <v>0.9</v>
      </c>
      <c r="AN5">
        <f>1 - ((AM5-AK5)^2) + (1 *AK5)</f>
        <v>1.99</v>
      </c>
      <c r="AO5" t="s">
        <v>53</v>
      </c>
      <c r="AP5">
        <v>1</v>
      </c>
      <c r="AQ5">
        <v>7</v>
      </c>
      <c r="AR5" cm="1">
        <f t="array" ref="AR5">_xlfn.IFS(AQ5=$E$25, $F$25, AQ5=$E$26, $F$26, AQ5=$E$27, $F$27, AQ5=$E$28, $F$28, AQ5=$E$29, $F$29, AQ5=$E$30, $F$30, AQ5=$E$31, $F$31)</f>
        <v>0.9</v>
      </c>
      <c r="AS5">
        <f>1 - ((AR5-AP5)^2) + (1 *AP5)</f>
        <v>1.99</v>
      </c>
      <c r="AT5" t="s">
        <v>54</v>
      </c>
      <c r="AU5">
        <v>1</v>
      </c>
      <c r="AV5">
        <v>6</v>
      </c>
      <c r="AW5" cm="1">
        <f t="array" ref="AW5">_xlfn.IFS(AV5=$E$25, $F$25, AV5=$E$26, $F$26, AV5=$E$27, $F$27, AV5=$E$28, $F$28, AV5=$E$29, $F$29, AV5=$E$30, $F$30, AV5=$E$31, $F$31)</f>
        <v>0.75</v>
      </c>
      <c r="AX5">
        <f>1 - ((AW5-AU5)^2) + (1 *AU5)</f>
        <v>1.9375</v>
      </c>
      <c r="AY5" t="s">
        <v>68</v>
      </c>
      <c r="AZ5">
        <v>1</v>
      </c>
      <c r="BA5">
        <v>7</v>
      </c>
      <c r="BB5" cm="1">
        <f t="array" ref="BB5">_xlfn.IFS(BA5=$E$25, $F$25, BA5=$E$26, $F$26, BA5=$E$27, $F$27, BA5=$E$28, $F$28, BA5=$E$29, $F$29, BA5=$E$30, $F$30, BA5=$E$31, $F$31)</f>
        <v>0.9</v>
      </c>
      <c r="BC5">
        <f>1 - ((BB5-AZ5)^2) + (1 *AZ5)</f>
        <v>1.99</v>
      </c>
      <c r="BD5" t="s">
        <v>86</v>
      </c>
      <c r="BE5">
        <v>1</v>
      </c>
      <c r="BF5">
        <v>7</v>
      </c>
      <c r="BG5" cm="1">
        <f t="array" ref="BG5">_xlfn.IFS(BF5=$E$25, $F$25, BF5=$E$26, $F$26, BF5=$E$27, $F$27, BF5=$E$28, $F$28, BF5=$E$29, $F$29, BF5=$E$30, $F$30, BF5=$E$31, $F$31)</f>
        <v>0.9</v>
      </c>
      <c r="BH5">
        <f>1 - ((BG5-BE5)^2) + (1 *BE5)</f>
        <v>1.99</v>
      </c>
      <c r="BI5" t="s">
        <v>87</v>
      </c>
      <c r="BJ5">
        <v>1</v>
      </c>
      <c r="BK5">
        <v>3</v>
      </c>
      <c r="BL5" cm="1">
        <f t="array" ref="BL5">_xlfn.IFS(BK5=$E$25, $F$25, BK5=$E$26, $F$26, BK5=$E$27, $F$27, BK5=$E$28, $F$28, BK5=$E$29, $F$29, BK5=$E$30, $F$30, BK5=$E$31, $F$31)</f>
        <v>0.4</v>
      </c>
      <c r="BM5">
        <f>1 - ((BL5-BJ5)^2) + (1 *BJ5)</f>
        <v>1.6400000000000001</v>
      </c>
      <c r="BN5" t="s">
        <v>88</v>
      </c>
      <c r="BO5">
        <v>1</v>
      </c>
      <c r="BP5">
        <v>5</v>
      </c>
      <c r="BQ5" cm="1">
        <f t="array" ref="BQ5">_xlfn.IFS(BP5=$E$25, $F$25, BP5=$E$26, $F$26, BP5=$E$27, $F$27, BP5=$E$28, $F$28, BP5=$E$29, $F$29, BP5=$E$30, $F$30, BP5=$E$31, $F$31)</f>
        <v>0.6</v>
      </c>
      <c r="BR5">
        <f>1 - ((BQ5-BO5)^2) + (1 *BO5)</f>
        <v>1.8399999999999999</v>
      </c>
      <c r="BS5" t="s">
        <v>71</v>
      </c>
      <c r="BT5">
        <v>1</v>
      </c>
      <c r="BU5">
        <v>6</v>
      </c>
      <c r="BV5" cm="1">
        <f t="array" ref="BV5">_xlfn.IFS(BU5=$E$25, $F$25, BU5=$E$26, $F$26, BU5=$E$27, $F$27, BU5=$E$28, $F$28, BU5=$E$29, $F$29, BU5=$E$30, $F$30, BU5=$E$31, $F$31)</f>
        <v>0.75</v>
      </c>
      <c r="BW5">
        <f>1 - ((BV5-BT5)^2) + (1 *BT5)</f>
        <v>1.9375</v>
      </c>
      <c r="BX5" t="s">
        <v>60</v>
      </c>
      <c r="BY5">
        <v>1</v>
      </c>
      <c r="BZ5">
        <v>7</v>
      </c>
      <c r="CA5" cm="1">
        <f t="array" ref="CA5">_xlfn.IFS(BZ5=$E$25, $F$25, BZ5=$E$26, $F$26, BZ5=$E$27, $F$27, BZ5=$E$28, $F$28, BZ5=$E$29, $F$29, BZ5=$E$30, $F$30, BZ5=$E$31, $F$31)</f>
        <v>0.9</v>
      </c>
      <c r="CB5">
        <f>1 - ((CA5-BY5)^2) + (1 *BY5)</f>
        <v>1.99</v>
      </c>
      <c r="CC5" t="s">
        <v>61</v>
      </c>
      <c r="CD5">
        <v>1</v>
      </c>
      <c r="CE5">
        <v>7</v>
      </c>
      <c r="CF5" cm="1">
        <f t="array" ref="CF5">_xlfn.IFS(CE5=$E$25, $F$25, CE5=$E$26, $F$26, CE5=$E$27, $F$27, CE5=$E$28, $F$28, CE5=$E$29, $F$29, CE5=$E$30, $F$30, CE5=$E$31, $F$31)</f>
        <v>0.9</v>
      </c>
      <c r="CG5">
        <f>1 - ((CF5-CD5)^2) + (1 *CD5)</f>
        <v>1.99</v>
      </c>
      <c r="CH5">
        <v>1980</v>
      </c>
      <c r="CI5">
        <v>1</v>
      </c>
      <c r="CJ5">
        <v>6</v>
      </c>
      <c r="CK5" cm="1">
        <f t="array" ref="CK5">_xlfn.IFS(CJ5=$E$25, $F$25, CJ5=$E$26, $F$26, CJ5=$E$27, $F$27, CJ5=$E$28, $F$28, CJ5=$E$29, $F$29, CJ5=$E$30, $F$30, CJ5=$E$31, $F$31)</f>
        <v>0.75</v>
      </c>
      <c r="CL5">
        <f>1 - ((CK5-CI5)^2) + (1 *CI5)</f>
        <v>1.9375</v>
      </c>
      <c r="CM5" t="s">
        <v>72</v>
      </c>
      <c r="CN5">
        <v>0</v>
      </c>
      <c r="CO5">
        <v>7</v>
      </c>
      <c r="CP5" cm="1">
        <f t="array" ref="CP5">_xlfn.IFS(CO5=$E$25, $F$25, CO5=$E$26, $F$26, CO5=$E$27, $F$27, CO5=$E$28, $F$28, CO5=$E$29, $F$29, CO5=$E$30, $F$30, CO5=$E$31, $F$31)</f>
        <v>0.9</v>
      </c>
      <c r="CQ5">
        <f>1 - ((CP5-CN5)^2) + (1 *CN5)</f>
        <v>0.18999999999999995</v>
      </c>
      <c r="CR5">
        <v>12</v>
      </c>
      <c r="CS5">
        <v>1</v>
      </c>
      <c r="CT5">
        <v>7</v>
      </c>
      <c r="CU5" cm="1">
        <f t="array" ref="CU5">_xlfn.IFS(CT5=$E$25, $F$25, CT5=$E$26, $F$26, CT5=$E$27, $F$27, CT5=$E$28, $F$28, CT5=$E$29, $F$29, CT5=$E$30, $F$30, CT5=$E$31, $F$31)</f>
        <v>0.9</v>
      </c>
      <c r="CV5">
        <f>1 - ((CU5-CS5)^2) + (1 *CS5)</f>
        <v>1.99</v>
      </c>
      <c r="CW5" t="s">
        <v>73</v>
      </c>
      <c r="CX5">
        <v>0</v>
      </c>
      <c r="CY5">
        <v>6</v>
      </c>
      <c r="CZ5" cm="1">
        <f t="array" ref="CZ5">_xlfn.IFS(CY5=$E$25, $F$25, CY5=$E$26, $F$26, CY5=$E$27, $F$27, CY5=$E$28, $F$28, CY5=$E$29, $F$29, CY5=$E$30, $F$30, CY5=$E$31, $F$31)</f>
        <v>0.75</v>
      </c>
      <c r="DA5">
        <f>1 - ((CZ5-CX5)^2) + (1 *CX5)</f>
        <v>0.4375</v>
      </c>
    </row>
    <row r="6" spans="1:105">
      <c r="A6" s="3">
        <v>45985.59784722222</v>
      </c>
      <c r="B6">
        <v>8</v>
      </c>
      <c r="C6" s="2">
        <f>ROUND(SUMIF($F$1:$CS$1, "Weighted Score", $F6:$CS6),2)</f>
        <v>22.38</v>
      </c>
      <c r="D6" t="s">
        <v>89</v>
      </c>
      <c r="E6" t="s">
        <v>90</v>
      </c>
      <c r="F6" t="s">
        <v>85</v>
      </c>
      <c r="G6">
        <v>1</v>
      </c>
      <c r="H6">
        <v>7</v>
      </c>
      <c r="I6" cm="1">
        <f t="array" ref="I6">_xlfn.IFS(H6=$E$25, $F$25, H6=$E$26, $F$26, H6=$E$27, $F$27, H6=$E$28, $F$28, H6=$E$29, $F$29, H6=$E$30, $F$30, H6=$E$31, $F$31)</f>
        <v>0.9</v>
      </c>
      <c r="J6">
        <f>1 - ((I6-G6)^2) + (1 *G6)</f>
        <v>1.99</v>
      </c>
      <c r="K6" t="s">
        <v>51</v>
      </c>
      <c r="L6">
        <v>1</v>
      </c>
      <c r="M6">
        <v>5</v>
      </c>
      <c r="N6" cm="1">
        <f t="array" ref="N6">_xlfn.IFS(M6=$E$25, $F$25, M6=$E$26, $F$26, M6=$E$27, $F$27, M6=$E$28, $F$28, M6=$E$29, $F$29, M6=$E$30, $F$30, M6=$E$31, $F$31)</f>
        <v>0.6</v>
      </c>
      <c r="O6">
        <f>1 - ((N6-L6)^2) + (1 *L6)</f>
        <v>1.8399999999999999</v>
      </c>
      <c r="P6">
        <v>1989</v>
      </c>
      <c r="Q6">
        <v>0</v>
      </c>
      <c r="R6">
        <v>4</v>
      </c>
      <c r="S6" cm="1">
        <f t="array" ref="S6">_xlfn.IFS(R6=$E$25, $F$25, R6=$E$26, $F$26, R6=$E$27, $F$27, R6=$E$28, $F$28, R6=$E$29, $F$29, R6=$E$30, $F$30, R6=$E$31, $F$31)</f>
        <v>0.5</v>
      </c>
      <c r="T6">
        <f>1 - ((S6-Q6)^2) + (1 *Q6)</f>
        <v>0.75</v>
      </c>
      <c r="U6">
        <v>17</v>
      </c>
      <c r="V6">
        <v>0</v>
      </c>
      <c r="W6">
        <v>1</v>
      </c>
      <c r="X6" cm="1">
        <f t="array" ref="X6">_xlfn.IFS(W6=$E$25, $F$25, W6=$E$26, $F$26, W6=$E$27, $F$27, W6=$E$28, $F$28, W6=$E$29, $F$29, W6=$E$30, $F$30, W6=$E$31, $F$31)</f>
        <v>0.1</v>
      </c>
      <c r="Y6">
        <f>1 - ((X6-V6)^2) + (1 *V6)</f>
        <v>0.99</v>
      </c>
      <c r="Z6">
        <v>80</v>
      </c>
      <c r="AA6">
        <v>0</v>
      </c>
      <c r="AB6">
        <v>4</v>
      </c>
      <c r="AC6" cm="1">
        <f t="array" ref="AC6">_xlfn.IFS(AB6=$E$25, $F$25, AB6=$E$26, $F$26, AB6=$E$27, $F$27, AB6=$E$28, $F$28, AB6=$E$29, $F$29, AB6=$E$30, $F$30, AB6=$E$31, $F$31)</f>
        <v>0.5</v>
      </c>
      <c r="AD6">
        <f>1 - ((AC6-AA6)^2) + (1 *AA6)</f>
        <v>0.75</v>
      </c>
      <c r="AE6" s="1">
        <v>0.2</v>
      </c>
      <c r="AF6">
        <v>1</v>
      </c>
      <c r="AG6">
        <v>7</v>
      </c>
      <c r="AH6" cm="1">
        <f t="array" ref="AH6">_xlfn.IFS(AG6=$E$25, $F$25, AG6=$E$26, $F$26, AG6=$E$27, $F$27, AG6=$E$28, $F$28, AG6=$E$29, $F$29, AG6=$E$30, $F$30, AG6=$E$31, $F$31)</f>
        <v>0.9</v>
      </c>
      <c r="AI6">
        <f>1 - ((AH6-AF6)^2) + (1 *AF6)</f>
        <v>1.99</v>
      </c>
      <c r="AJ6" t="s">
        <v>52</v>
      </c>
      <c r="AK6">
        <v>1</v>
      </c>
      <c r="AL6">
        <v>5</v>
      </c>
      <c r="AM6" cm="1">
        <f t="array" ref="AM6">_xlfn.IFS(AL6=$E$25, $F$25, AL6=$E$26, $F$26, AL6=$E$27, $F$27, AL6=$E$28, $F$28, AL6=$E$29, $F$29, AL6=$E$30, $F$30, AL6=$E$31, $F$31)</f>
        <v>0.6</v>
      </c>
      <c r="AN6">
        <f>1 - ((AM6-AK6)^2) + (1 *AK6)</f>
        <v>1.8399999999999999</v>
      </c>
      <c r="AO6" t="s">
        <v>53</v>
      </c>
      <c r="AP6">
        <v>1</v>
      </c>
      <c r="AQ6">
        <v>6</v>
      </c>
      <c r="AR6" cm="1">
        <f t="array" ref="AR6">_xlfn.IFS(AQ6=$E$25, $F$25, AQ6=$E$26, $F$26, AQ6=$E$27, $F$27, AQ6=$E$28, $F$28, AQ6=$E$29, $F$29, AQ6=$E$30, $F$30, AQ6=$E$31, $F$31)</f>
        <v>0.75</v>
      </c>
      <c r="AS6">
        <f>1 - ((AR6-AP6)^2) + (1 *AP6)</f>
        <v>1.9375</v>
      </c>
      <c r="AT6" t="s">
        <v>91</v>
      </c>
      <c r="AU6">
        <v>0</v>
      </c>
      <c r="AV6">
        <v>5</v>
      </c>
      <c r="AW6" cm="1">
        <f t="array" ref="AW6">_xlfn.IFS(AV6=$E$25, $F$25, AV6=$E$26, $F$26, AV6=$E$27, $F$27, AV6=$E$28, $F$28, AV6=$E$29, $F$29, AV6=$E$30, $F$30, AV6=$E$31, $F$31)</f>
        <v>0.6</v>
      </c>
      <c r="AX6">
        <f>1 - ((AW6-AU6)^2) + (1 *AU6)</f>
        <v>0.64</v>
      </c>
      <c r="AY6" t="s">
        <v>68</v>
      </c>
      <c r="AZ6">
        <v>1</v>
      </c>
      <c r="BA6">
        <v>6</v>
      </c>
      <c r="BB6" cm="1">
        <f t="array" ref="BB6">_xlfn.IFS(BA6=$E$25, $F$25, BA6=$E$26, $F$26, BA6=$E$27, $F$27, BA6=$E$28, $F$28, BA6=$E$29, $F$29, BA6=$E$30, $F$30, BA6=$E$31, $F$31)</f>
        <v>0.75</v>
      </c>
      <c r="BC6">
        <f>1 - ((BB6-AZ6)^2) + (1 *AZ6)</f>
        <v>1.9375</v>
      </c>
      <c r="BD6">
        <v>1980</v>
      </c>
      <c r="BE6">
        <v>0</v>
      </c>
      <c r="BF6">
        <v>3</v>
      </c>
      <c r="BG6" cm="1">
        <f t="array" ref="BG6">_xlfn.IFS(BF6=$E$25, $F$25, BF6=$E$26, $F$26, BF6=$E$27, $F$27, BF6=$E$28, $F$28, BF6=$E$29, $F$29, BF6=$E$30, $F$30, BF6=$E$31, $F$31)</f>
        <v>0.4</v>
      </c>
      <c r="BH6">
        <f>1 - ((BG6-BE6)^2) + (1 *BE6)</f>
        <v>0.84</v>
      </c>
      <c r="BI6" t="s">
        <v>92</v>
      </c>
      <c r="BJ6">
        <v>0</v>
      </c>
      <c r="BK6">
        <v>4</v>
      </c>
      <c r="BL6" cm="1">
        <f t="array" ref="BL6">_xlfn.IFS(BK6=$E$25, $F$25, BK6=$E$26, $F$26, BK6=$E$27, $F$27, BK6=$E$28, $F$28, BK6=$E$29, $F$29, BK6=$E$30, $F$30, BK6=$E$31, $F$31)</f>
        <v>0.5</v>
      </c>
      <c r="BM6">
        <f>1 - ((BL6-BJ6)^2) + (1 *BJ6)</f>
        <v>0.75</v>
      </c>
      <c r="BN6" t="s">
        <v>70</v>
      </c>
      <c r="BO6">
        <v>0</v>
      </c>
      <c r="BP6">
        <v>4</v>
      </c>
      <c r="BQ6" cm="1">
        <f t="array" ref="BQ6">_xlfn.IFS(BP6=$E$25, $F$25, BP6=$E$26, $F$26, BP6=$E$27, $F$27, BP6=$E$28, $F$28, BP6=$E$29, $F$29, BP6=$E$30, $F$30, BP6=$E$31, $F$31)</f>
        <v>0.5</v>
      </c>
      <c r="BR6">
        <f>1 - ((BQ6-BO6)^2) + (1 *BO6)</f>
        <v>0.75</v>
      </c>
      <c r="BS6" t="s">
        <v>81</v>
      </c>
      <c r="BT6">
        <v>0</v>
      </c>
      <c r="BU6">
        <v>4</v>
      </c>
      <c r="BV6" cm="1">
        <f t="array" ref="BV6">_xlfn.IFS(BU6=$E$25, $F$25, BU6=$E$26, $F$26, BU6=$E$27, $F$27, BU6=$E$28, $F$28, BU6=$E$29, $F$29, BU6=$E$30, $F$30, BU6=$E$31, $F$31)</f>
        <v>0.5</v>
      </c>
      <c r="BW6">
        <f>1 - ((BV6-BT6)^2) + (1 *BT6)</f>
        <v>0.75</v>
      </c>
      <c r="BX6" t="s">
        <v>60</v>
      </c>
      <c r="BY6">
        <v>1</v>
      </c>
      <c r="BZ6">
        <v>4</v>
      </c>
      <c r="CA6" cm="1">
        <f t="array" ref="CA6">_xlfn.IFS(BZ6=$E$25, $F$25, BZ6=$E$26, $F$26, BZ6=$E$27, $F$27, BZ6=$E$28, $F$28, BZ6=$E$29, $F$29, BZ6=$E$30, $F$30, BZ6=$E$31, $F$31)</f>
        <v>0.5</v>
      </c>
      <c r="CB6">
        <f>1 - ((CA6-BY6)^2) + (1 *BY6)</f>
        <v>1.75</v>
      </c>
      <c r="CC6" t="s">
        <v>61</v>
      </c>
      <c r="CD6">
        <v>1</v>
      </c>
      <c r="CE6">
        <v>6</v>
      </c>
      <c r="CF6" cm="1">
        <f t="array" ref="CF6">_xlfn.IFS(CE6=$E$25, $F$25, CE6=$E$26, $F$26, CE6=$E$27, $F$27, CE6=$E$28, $F$28, CE6=$E$29, $F$29, CE6=$E$30, $F$30, CE6=$E$31, $F$31)</f>
        <v>0.75</v>
      </c>
      <c r="CG6">
        <f>1 - ((CF6-CD6)^2) + (1 *CD6)</f>
        <v>1.9375</v>
      </c>
      <c r="CH6">
        <v>1997</v>
      </c>
      <c r="CI6">
        <v>0</v>
      </c>
      <c r="CJ6">
        <v>7</v>
      </c>
      <c r="CK6" cm="1">
        <f t="array" ref="CK6">_xlfn.IFS(CJ6=$E$25, $F$25, CJ6=$E$26, $F$26, CJ6=$E$27, $F$27, CJ6=$E$28, $F$28, CJ6=$E$29, $F$29, CJ6=$E$30, $F$30, CJ6=$E$31, $F$31)</f>
        <v>0.9</v>
      </c>
      <c r="CL6">
        <f>1 - ((CK6-CI6)^2) + (1 *CI6)</f>
        <v>0.18999999999999995</v>
      </c>
      <c r="CM6" t="s">
        <v>72</v>
      </c>
      <c r="CN6">
        <v>0</v>
      </c>
      <c r="CO6">
        <v>4</v>
      </c>
      <c r="CP6" cm="1">
        <f t="array" ref="CP6">_xlfn.IFS(CO6=$E$25, $F$25, CO6=$E$26, $F$26, CO6=$E$27, $F$27, CO6=$E$28, $F$28, CO6=$E$29, $F$29, CO6=$E$30, $F$30, CO6=$E$31, $F$31)</f>
        <v>0.5</v>
      </c>
      <c r="CQ6">
        <f>1 - ((CP6-CN6)^2) + (1 *CN6)</f>
        <v>0.75</v>
      </c>
      <c r="CR6">
        <v>8</v>
      </c>
      <c r="CS6">
        <v>0</v>
      </c>
      <c r="CT6">
        <v>5</v>
      </c>
      <c r="CU6" cm="1">
        <f t="array" ref="CU6">_xlfn.IFS(CT6=$E$25, $F$25, CT6=$E$26, $F$26, CT6=$E$27, $F$27, CT6=$E$28, $F$28, CT6=$E$29, $F$29, CT6=$E$30, $F$30, CT6=$E$31, $F$31)</f>
        <v>0.6</v>
      </c>
      <c r="CV6">
        <f>1 - ((CU6-CS6)^2) + (1 *CS6)</f>
        <v>0.64</v>
      </c>
      <c r="CW6" t="s">
        <v>93</v>
      </c>
      <c r="CX6">
        <v>0</v>
      </c>
      <c r="CY6">
        <v>4</v>
      </c>
      <c r="CZ6" cm="1">
        <f t="array" ref="CZ6">_xlfn.IFS(CY6=$E$25, $F$25, CY6=$E$26, $F$26, CY6=$E$27, $F$27, CY6=$E$28, $F$28, CY6=$E$29, $F$29, CY6=$E$30, $F$30, CY6=$E$31, $F$31)</f>
        <v>0.5</v>
      </c>
      <c r="DA6">
        <f>1 - ((CZ6-CX6)^2) + (1 *CX6)</f>
        <v>0.75</v>
      </c>
    </row>
    <row r="7" spans="1:105">
      <c r="A7" s="3">
        <v>45985.93141203704</v>
      </c>
      <c r="B7">
        <v>10</v>
      </c>
      <c r="C7" s="2">
        <f>ROUND(SUMIF($F$1:$CS$1, "Weighted Score", $F7:$CS7),2)</f>
        <v>23.02</v>
      </c>
      <c r="D7" t="s">
        <v>94</v>
      </c>
      <c r="E7" t="s">
        <v>95</v>
      </c>
      <c r="F7" t="s">
        <v>85</v>
      </c>
      <c r="G7">
        <v>1</v>
      </c>
      <c r="H7">
        <v>7</v>
      </c>
      <c r="I7" cm="1">
        <f t="array" ref="I7">_xlfn.IFS(H7=$E$25, $F$25, H7=$E$26, $F$26, H7=$E$27, $F$27, H7=$E$28, $F$28, H7=$E$29, $F$29, H7=$E$30, $F$30, H7=$E$31, $F$31)</f>
        <v>0.9</v>
      </c>
      <c r="J7">
        <f>1 - ((I7-G7)^2) + (1 *G7)</f>
        <v>1.99</v>
      </c>
      <c r="K7" t="s">
        <v>96</v>
      </c>
      <c r="L7">
        <v>0</v>
      </c>
      <c r="M7">
        <v>7</v>
      </c>
      <c r="N7" cm="1">
        <f t="array" ref="N7">_xlfn.IFS(M7=$E$25, $F$25, M7=$E$26, $F$26, M7=$E$27, $F$27, M7=$E$28, $F$28, M7=$E$29, $F$29, M7=$E$30, $F$30, M7=$E$31, $F$31)</f>
        <v>0.9</v>
      </c>
      <c r="O7">
        <f>1 - ((N7-L7)^2) + (1 *L7)</f>
        <v>0.18999999999999995</v>
      </c>
      <c r="P7">
        <v>1980</v>
      </c>
      <c r="Q7">
        <v>0</v>
      </c>
      <c r="R7">
        <v>7</v>
      </c>
      <c r="S7" cm="1">
        <f t="array" ref="S7">_xlfn.IFS(R7=$E$25, $F$25, R7=$E$26, $F$26, R7=$E$27, $F$27, R7=$E$28, $F$28, R7=$E$29, $F$29, R7=$E$30, $F$30, R7=$E$31, $F$31)</f>
        <v>0.9</v>
      </c>
      <c r="T7">
        <f>1 - ((S7-Q7)^2) + (1 *Q7)</f>
        <v>0.18999999999999995</v>
      </c>
      <c r="U7">
        <v>18</v>
      </c>
      <c r="V7">
        <v>1</v>
      </c>
      <c r="W7">
        <v>7</v>
      </c>
      <c r="X7" cm="1">
        <f t="array" ref="X7">_xlfn.IFS(W7=$E$25, $F$25, W7=$E$26, $F$26, W7=$E$27, $F$27, W7=$E$28, $F$28, W7=$E$29, $F$29, W7=$E$30, $F$30, W7=$E$31, $F$31)</f>
        <v>0.9</v>
      </c>
      <c r="Y7">
        <f>1 - ((X7-V7)^2) + (1 *V7)</f>
        <v>1.99</v>
      </c>
      <c r="Z7" t="s">
        <v>97</v>
      </c>
      <c r="AA7">
        <v>0</v>
      </c>
      <c r="AB7">
        <v>1</v>
      </c>
      <c r="AC7" cm="1">
        <f t="array" ref="AC7">_xlfn.IFS(AB7=$E$25, $F$25, AB7=$E$26, $F$26, AB7=$E$27, $F$27, AB7=$E$28, $F$28, AB7=$E$29, $F$29, AB7=$E$30, $F$30, AB7=$E$31, $F$31)</f>
        <v>0.1</v>
      </c>
      <c r="AD7">
        <f>1 - ((AC7-AA7)^2) + (1 *AA7)</f>
        <v>0.99</v>
      </c>
      <c r="AE7" s="1">
        <v>0.2</v>
      </c>
      <c r="AF7">
        <v>1</v>
      </c>
      <c r="AG7">
        <v>7</v>
      </c>
      <c r="AH7" cm="1">
        <f t="array" ref="AH7">_xlfn.IFS(AG7=$E$25, $F$25, AG7=$E$26, $F$26, AG7=$E$27, $F$27, AG7=$E$28, $F$28, AG7=$E$29, $F$29, AG7=$E$30, $F$30, AG7=$E$31, $F$31)</f>
        <v>0.9</v>
      </c>
      <c r="AI7">
        <f>1 - ((AH7-AF7)^2) + (1 *AF7)</f>
        <v>1.99</v>
      </c>
      <c r="AJ7" t="s">
        <v>52</v>
      </c>
      <c r="AK7">
        <v>1</v>
      </c>
      <c r="AL7">
        <v>7</v>
      </c>
      <c r="AM7" cm="1">
        <f t="array" ref="AM7">_xlfn.IFS(AL7=$E$25, $F$25, AL7=$E$26, $F$26, AL7=$E$27, $F$27, AL7=$E$28, $F$28, AL7=$E$29, $F$29, AL7=$E$30, $F$30, AL7=$E$31, $F$31)</f>
        <v>0.9</v>
      </c>
      <c r="AN7">
        <f>1 - ((AM7-AK7)^2) + (1 *AK7)</f>
        <v>1.99</v>
      </c>
      <c r="AO7" t="s">
        <v>53</v>
      </c>
      <c r="AP7">
        <v>1</v>
      </c>
      <c r="AQ7">
        <v>7</v>
      </c>
      <c r="AR7" cm="1">
        <f t="array" ref="AR7">_xlfn.IFS(AQ7=$E$25, $F$25, AQ7=$E$26, $F$26, AQ7=$E$27, $F$27, AQ7=$E$28, $F$28, AQ7=$E$29, $F$29, AQ7=$E$30, $F$30, AQ7=$E$31, $F$31)</f>
        <v>0.9</v>
      </c>
      <c r="AS7">
        <f>1 - ((AR7-AP7)^2) + (1 *AP7)</f>
        <v>1.99</v>
      </c>
      <c r="AT7" t="s">
        <v>78</v>
      </c>
      <c r="AU7">
        <v>0</v>
      </c>
      <c r="AV7">
        <v>7</v>
      </c>
      <c r="AW7" cm="1">
        <f t="array" ref="AW7">_xlfn.IFS(AV7=$E$25, $F$25, AV7=$E$26, $F$26, AV7=$E$27, $F$27, AV7=$E$28, $F$28, AV7=$E$29, $F$29, AV7=$E$30, $F$30, AV7=$E$31, $F$31)</f>
        <v>0.9</v>
      </c>
      <c r="AX7">
        <f>1 - ((AW7-AU7)^2) + (1 *AU7)</f>
        <v>0.18999999999999995</v>
      </c>
      <c r="AY7" t="s">
        <v>68</v>
      </c>
      <c r="AZ7">
        <v>1</v>
      </c>
      <c r="BA7">
        <v>7</v>
      </c>
      <c r="BB7" cm="1">
        <f t="array" ref="BB7">_xlfn.IFS(BA7=$E$25, $F$25, BA7=$E$26, $F$26, BA7=$E$27, $F$27, BA7=$E$28, $F$28, BA7=$E$29, $F$29, BA7=$E$30, $F$30, BA7=$E$31, $F$31)</f>
        <v>0.9</v>
      </c>
      <c r="BC7">
        <f>1 - ((BB7-AZ7)^2) + (1 *AZ7)</f>
        <v>1.99</v>
      </c>
      <c r="BD7" t="s">
        <v>98</v>
      </c>
      <c r="BE7">
        <v>0</v>
      </c>
      <c r="BF7">
        <v>7</v>
      </c>
      <c r="BG7" cm="1">
        <f t="array" ref="BG7">_xlfn.IFS(BF7=$E$25, $F$25, BF7=$E$26, $F$26, BF7=$E$27, $F$27, BF7=$E$28, $F$28, BF7=$E$29, $F$29, BF7=$E$30, $F$30, BF7=$E$31, $F$31)</f>
        <v>0.9</v>
      </c>
      <c r="BH7">
        <f>1 - ((BG7-BE7)^2) + (1 *BE7)</f>
        <v>0.18999999999999995</v>
      </c>
      <c r="BI7" t="s">
        <v>97</v>
      </c>
      <c r="BJ7">
        <v>0</v>
      </c>
      <c r="BK7">
        <v>1</v>
      </c>
      <c r="BL7" cm="1">
        <f t="array" ref="BL7">_xlfn.IFS(BK7=$E$25, $F$25, BK7=$E$26, $F$26, BK7=$E$27, $F$27, BK7=$E$28, $F$28, BK7=$E$29, $F$29, BK7=$E$30, $F$30, BK7=$E$31, $F$31)</f>
        <v>0.1</v>
      </c>
      <c r="BM7">
        <f>1 - ((BL7-BJ7)^2) + (1 *BJ7)</f>
        <v>0.99</v>
      </c>
      <c r="BN7" t="s">
        <v>88</v>
      </c>
      <c r="BO7">
        <v>1</v>
      </c>
      <c r="BP7">
        <v>7</v>
      </c>
      <c r="BQ7" cm="1">
        <f t="array" ref="BQ7">_xlfn.IFS(BP7=$E$25, $F$25, BP7=$E$26, $F$26, BP7=$E$27, $F$27, BP7=$E$28, $F$28, BP7=$E$29, $F$29, BP7=$E$30, $F$30, BP7=$E$31, $F$31)</f>
        <v>0.9</v>
      </c>
      <c r="BR7">
        <f>1 - ((BQ7-BO7)^2) + (1 *BO7)</f>
        <v>1.99</v>
      </c>
      <c r="BS7" t="s">
        <v>71</v>
      </c>
      <c r="BT7">
        <v>1</v>
      </c>
      <c r="BU7">
        <v>7</v>
      </c>
      <c r="BV7" cm="1">
        <f t="array" ref="BV7">_xlfn.IFS(BU7=$E$25, $F$25, BU7=$E$26, $F$26, BU7=$E$27, $F$27, BU7=$E$28, $F$28, BU7=$E$29, $F$29, BU7=$E$30, $F$30, BU7=$E$31, $F$31)</f>
        <v>0.9</v>
      </c>
      <c r="BW7">
        <f>1 - ((BV7-BT7)^2) + (1 *BT7)</f>
        <v>1.99</v>
      </c>
      <c r="BX7" t="s">
        <v>60</v>
      </c>
      <c r="BY7">
        <v>1</v>
      </c>
      <c r="BZ7">
        <v>7</v>
      </c>
      <c r="CA7" cm="1">
        <f t="array" ref="CA7">_xlfn.IFS(BZ7=$E$25, $F$25, BZ7=$E$26, $F$26, BZ7=$E$27, $F$27, BZ7=$E$28, $F$28, BZ7=$E$29, $F$29, BZ7=$E$30, $F$30, BZ7=$E$31, $F$31)</f>
        <v>0.9</v>
      </c>
      <c r="CB7">
        <f>1 - ((CA7-BY7)^2) + (1 *BY7)</f>
        <v>1.99</v>
      </c>
      <c r="CC7" t="s">
        <v>61</v>
      </c>
      <c r="CD7">
        <v>1</v>
      </c>
      <c r="CE7">
        <v>7</v>
      </c>
      <c r="CF7" cm="1">
        <f t="array" ref="CF7">_xlfn.IFS(CE7=$E$25, $F$25, CE7=$E$26, $F$26, CE7=$E$27, $F$27, CE7=$E$28, $F$28, CE7=$E$29, $F$29, CE7=$E$30, $F$30, CE7=$E$31, $F$31)</f>
        <v>0.9</v>
      </c>
      <c r="CG7">
        <f>1 - ((CF7-CD7)^2) + (1 *CD7)</f>
        <v>1.99</v>
      </c>
      <c r="CH7">
        <v>1990</v>
      </c>
      <c r="CI7">
        <v>0</v>
      </c>
      <c r="CJ7">
        <v>7</v>
      </c>
      <c r="CK7" cm="1">
        <f t="array" ref="CK7">_xlfn.IFS(CJ7=$E$25, $F$25, CJ7=$E$26, $F$26, CJ7=$E$27, $F$27, CJ7=$E$28, $F$28, CJ7=$E$29, $F$29, CJ7=$E$30, $F$30, CJ7=$E$31, $F$31)</f>
        <v>0.9</v>
      </c>
      <c r="CL7">
        <f>1 - ((CK7-CI7)^2) + (1 *CI7)</f>
        <v>0.18999999999999995</v>
      </c>
      <c r="CM7" t="s">
        <v>99</v>
      </c>
      <c r="CN7">
        <v>0</v>
      </c>
      <c r="CO7">
        <v>7</v>
      </c>
      <c r="CP7" cm="1">
        <f t="array" ref="CP7">_xlfn.IFS(CO7=$E$25, $F$25, CO7=$E$26, $F$26, CO7=$E$27, $F$27, CO7=$E$28, $F$28, CO7=$E$29, $F$29, CO7=$E$30, $F$30, CO7=$E$31, $F$31)</f>
        <v>0.9</v>
      </c>
      <c r="CQ7">
        <f>1 - ((CP7-CN7)^2) + (1 *CN7)</f>
        <v>0.18999999999999995</v>
      </c>
      <c r="CR7">
        <v>21</v>
      </c>
      <c r="CS7">
        <v>0</v>
      </c>
      <c r="CT7">
        <v>7</v>
      </c>
      <c r="CU7" cm="1">
        <f t="array" ref="CU7">_xlfn.IFS(CT7=$E$25, $F$25, CT7=$E$26, $F$26, CT7=$E$27, $F$27, CT7=$E$28, $F$28, CT7=$E$29, $F$29, CT7=$E$30, $F$30, CT7=$E$31, $F$31)</f>
        <v>0.9</v>
      </c>
      <c r="CV7">
        <f>1 - ((CU7-CS7)^2) + (1 *CS7)</f>
        <v>0.18999999999999995</v>
      </c>
      <c r="CW7" t="s">
        <v>100</v>
      </c>
      <c r="CX7">
        <v>0</v>
      </c>
      <c r="CY7">
        <v>7</v>
      </c>
      <c r="CZ7" cm="1">
        <f t="array" ref="CZ7">_xlfn.IFS(CY7=$E$25, $F$25, CY7=$E$26, $F$26, CY7=$E$27, $F$27, CY7=$E$28, $F$28, CY7=$E$29, $F$29, CY7=$E$30, $F$30, CY7=$E$31, $F$31)</f>
        <v>0.9</v>
      </c>
      <c r="DA7">
        <f>1 - ((CZ7-CX7)^2) + (1 *CX7)</f>
        <v>0.18999999999999995</v>
      </c>
    </row>
    <row r="8" spans="1:105">
      <c r="A8" s="3">
        <v>45985.941423611112</v>
      </c>
      <c r="B8">
        <v>13</v>
      </c>
      <c r="C8" s="2">
        <f>ROUND(SUMIF($F$1:$CS$1, "Weighted Score", $F8:$CS8),2)</f>
        <v>26.92</v>
      </c>
      <c r="D8" t="s">
        <v>101</v>
      </c>
      <c r="E8" t="s">
        <v>102</v>
      </c>
      <c r="F8" t="s">
        <v>103</v>
      </c>
      <c r="G8">
        <v>0</v>
      </c>
      <c r="H8">
        <v>5</v>
      </c>
      <c r="I8" cm="1">
        <f t="array" ref="I8">_xlfn.IFS(H8=$E$25, $F$25, H8=$E$26, $F$26, H8=$E$27, $F$27, H8=$E$28, $F$28, H8=$E$29, $F$29, H8=$E$30, $F$30, H8=$E$31, $F$31)</f>
        <v>0.6</v>
      </c>
      <c r="J8">
        <f>1 - ((I8-G8)^2) + (1 *G8)</f>
        <v>0.64</v>
      </c>
      <c r="K8" t="s">
        <v>51</v>
      </c>
      <c r="L8">
        <v>1</v>
      </c>
      <c r="M8">
        <v>7</v>
      </c>
      <c r="N8" cm="1">
        <f t="array" ref="N8">_xlfn.IFS(M8=$E$25, $F$25, M8=$E$26, $F$26, M8=$E$27, $F$27, M8=$E$28, $F$28, M8=$E$29, $F$29, M8=$E$30, $F$30, M8=$E$31, $F$31)</f>
        <v>0.9</v>
      </c>
      <c r="O8">
        <f>1 - ((N8-L8)^2) + (1 *L8)</f>
        <v>1.99</v>
      </c>
      <c r="P8">
        <v>1980</v>
      </c>
      <c r="Q8">
        <v>0</v>
      </c>
      <c r="R8">
        <v>4</v>
      </c>
      <c r="S8" cm="1">
        <f t="array" ref="S8">_xlfn.IFS(R8=$E$25, $F$25, R8=$E$26, $F$26, R8=$E$27, $F$27, R8=$E$28, $F$28, R8=$E$29, $F$29, R8=$E$30, $F$30, R8=$E$31, $F$31)</f>
        <v>0.5</v>
      </c>
      <c r="T8">
        <f>1 - ((S8-Q8)^2) + (1 *Q8)</f>
        <v>0.75</v>
      </c>
      <c r="U8">
        <v>18</v>
      </c>
      <c r="V8">
        <v>1</v>
      </c>
      <c r="W8">
        <v>7</v>
      </c>
      <c r="X8" cm="1">
        <f t="array" ref="X8">_xlfn.IFS(W8=$E$25, $F$25, W8=$E$26, $F$26, W8=$E$27, $F$27, W8=$E$28, $F$28, W8=$E$29, $F$29, W8=$E$30, $F$30, W8=$E$31, $F$31)</f>
        <v>0.9</v>
      </c>
      <c r="Y8">
        <f>1 - ((X8-V8)^2) + (1 *V8)</f>
        <v>1.99</v>
      </c>
      <c r="Z8" s="1">
        <v>0.05</v>
      </c>
      <c r="AA8">
        <v>1</v>
      </c>
      <c r="AB8">
        <v>4</v>
      </c>
      <c r="AC8" cm="1">
        <f t="array" ref="AC8">_xlfn.IFS(AB8=$E$25, $F$25, AB8=$E$26, $F$26, AB8=$E$27, $F$27, AB8=$E$28, $F$28, AB8=$E$29, $F$29, AB8=$E$30, $F$30, AB8=$E$31, $F$31)</f>
        <v>0.5</v>
      </c>
      <c r="AD8">
        <f>1 - ((AC8-AA8)^2) + (1 *AA8)</f>
        <v>1.75</v>
      </c>
      <c r="AE8" s="1">
        <v>0.2</v>
      </c>
      <c r="AF8">
        <v>1</v>
      </c>
      <c r="AG8">
        <v>7</v>
      </c>
      <c r="AH8" cm="1">
        <f t="array" ref="AH8">_xlfn.IFS(AG8=$E$25, $F$25, AG8=$E$26, $F$26, AG8=$E$27, $F$27, AG8=$E$28, $F$28, AG8=$E$29, $F$29, AG8=$E$30, $F$30, AG8=$E$31, $F$31)</f>
        <v>0.9</v>
      </c>
      <c r="AI8">
        <f>1 - ((AH8-AF8)^2) + (1 *AF8)</f>
        <v>1.99</v>
      </c>
      <c r="AJ8" t="s">
        <v>52</v>
      </c>
      <c r="AK8">
        <v>1</v>
      </c>
      <c r="AL8">
        <v>7</v>
      </c>
      <c r="AM8" cm="1">
        <f t="array" ref="AM8">_xlfn.IFS(AL8=$E$25, $F$25, AL8=$E$26, $F$26, AL8=$E$27, $F$27, AL8=$E$28, $F$28, AL8=$E$29, $F$29, AL8=$E$30, $F$30, AL8=$E$31, $F$31)</f>
        <v>0.9</v>
      </c>
      <c r="AN8">
        <f>1 - ((AM8-AK8)^2) + (1 *AK8)</f>
        <v>1.99</v>
      </c>
      <c r="AO8" t="s">
        <v>53</v>
      </c>
      <c r="AP8">
        <v>1</v>
      </c>
      <c r="AQ8">
        <v>4</v>
      </c>
      <c r="AR8" cm="1">
        <f t="array" ref="AR8">_xlfn.IFS(AQ8=$E$25, $F$25, AQ8=$E$26, $F$26, AQ8=$E$27, $F$27, AQ8=$E$28, $F$28, AQ8=$E$29, $F$29, AQ8=$E$30, $F$30, AQ8=$E$31, $F$31)</f>
        <v>0.5</v>
      </c>
      <c r="AS8">
        <f>1 - ((AR8-AP8)^2) + (1 *AP8)</f>
        <v>1.75</v>
      </c>
      <c r="AT8" t="s">
        <v>78</v>
      </c>
      <c r="AU8">
        <v>0</v>
      </c>
      <c r="AV8">
        <v>1</v>
      </c>
      <c r="AW8" cm="1">
        <f t="array" ref="AW8">_xlfn.IFS(AV8=$E$25, $F$25, AV8=$E$26, $F$26, AV8=$E$27, $F$27, AV8=$E$28, $F$28, AV8=$E$29, $F$29, AV8=$E$30, $F$30, AV8=$E$31, $F$31)</f>
        <v>0.1</v>
      </c>
      <c r="AX8">
        <f>1 - ((AW8-AU8)^2) + (1 *AU8)</f>
        <v>0.99</v>
      </c>
      <c r="AY8" t="s">
        <v>68</v>
      </c>
      <c r="AZ8">
        <v>1</v>
      </c>
      <c r="BA8">
        <v>6</v>
      </c>
      <c r="BB8" cm="1">
        <f t="array" ref="BB8">_xlfn.IFS(BA8=$E$25, $F$25, BA8=$E$26, $F$26, BA8=$E$27, $F$27, BA8=$E$28, $F$28, BA8=$E$29, $F$29, BA8=$E$30, $F$30, BA8=$E$31, $F$31)</f>
        <v>0.75</v>
      </c>
      <c r="BC8">
        <f>1 - ((BB8-AZ8)^2) + (1 *AZ8)</f>
        <v>1.9375</v>
      </c>
      <c r="BD8">
        <v>1377</v>
      </c>
      <c r="BE8">
        <v>0</v>
      </c>
      <c r="BF8">
        <v>1</v>
      </c>
      <c r="BG8" cm="1">
        <f t="array" ref="BG8">_xlfn.IFS(BF8=$E$25, $F$25, BF8=$E$26, $F$26, BF8=$E$27, $F$27, BF8=$E$28, $F$28, BF8=$E$29, $F$29, BF8=$E$30, $F$30, BF8=$E$31, $F$31)</f>
        <v>0.1</v>
      </c>
      <c r="BH8">
        <f>1 - ((BG8-BE8)^2) + (1 *BE8)</f>
        <v>0.99</v>
      </c>
      <c r="BI8" t="s">
        <v>104</v>
      </c>
      <c r="BJ8">
        <v>1</v>
      </c>
      <c r="BK8">
        <v>1</v>
      </c>
      <c r="BL8" cm="1">
        <f t="array" ref="BL8">_xlfn.IFS(BK8=$E$25, $F$25, BK8=$E$26, $F$26, BK8=$E$27, $F$27, BK8=$E$28, $F$28, BK8=$E$29, $F$29, BK8=$E$30, $F$30, BK8=$E$31, $F$31)</f>
        <v>0.1</v>
      </c>
      <c r="BM8">
        <f>1 - ((BL8-BJ8)^2) + (1 *BJ8)</f>
        <v>1.19</v>
      </c>
      <c r="BN8" t="s">
        <v>88</v>
      </c>
      <c r="BO8">
        <v>1</v>
      </c>
      <c r="BP8">
        <v>4</v>
      </c>
      <c r="BQ8" cm="1">
        <f t="array" ref="BQ8">_xlfn.IFS(BP8=$E$25, $F$25, BP8=$E$26, $F$26, BP8=$E$27, $F$27, BP8=$E$28, $F$28, BP8=$E$29, $F$29, BP8=$E$30, $F$30, BP8=$E$31, $F$31)</f>
        <v>0.5</v>
      </c>
      <c r="BR8">
        <f>1 - ((BQ8-BO8)^2) + (1 *BO8)</f>
        <v>1.75</v>
      </c>
      <c r="BS8" t="s">
        <v>71</v>
      </c>
      <c r="BT8">
        <v>1</v>
      </c>
      <c r="BU8">
        <v>5</v>
      </c>
      <c r="BV8" cm="1">
        <f t="array" ref="BV8">_xlfn.IFS(BU8=$E$25, $F$25, BU8=$E$26, $F$26, BU8=$E$27, $F$27, BU8=$E$28, $F$28, BU8=$E$29, $F$29, BU8=$E$30, $F$30, BU8=$E$31, $F$31)</f>
        <v>0.6</v>
      </c>
      <c r="BW8">
        <f>1 - ((BV8-BT8)^2) + (1 *BT8)</f>
        <v>1.8399999999999999</v>
      </c>
      <c r="BX8" t="s">
        <v>105</v>
      </c>
      <c r="BY8">
        <v>0</v>
      </c>
      <c r="BZ8">
        <v>2</v>
      </c>
      <c r="CA8" cm="1">
        <f t="array" ref="CA8">_xlfn.IFS(BZ8=$E$25, $F$25, BZ8=$E$26, $F$26, BZ8=$E$27, $F$27, BZ8=$E$28, $F$28, BZ8=$E$29, $F$29, BZ8=$E$30, $F$30, BZ8=$E$31, $F$31)</f>
        <v>0.25</v>
      </c>
      <c r="CB8">
        <f>1 - ((CA8-BY8)^2) + (1 *BY8)</f>
        <v>0.9375</v>
      </c>
      <c r="CC8" t="s">
        <v>61</v>
      </c>
      <c r="CD8">
        <v>1</v>
      </c>
      <c r="CE8">
        <v>6</v>
      </c>
      <c r="CF8" cm="1">
        <f t="array" ref="CF8">_xlfn.IFS(CE8=$E$25, $F$25, CE8=$E$26, $F$26, CE8=$E$27, $F$27, CE8=$E$28, $F$28, CE8=$E$29, $F$29, CE8=$E$30, $F$30, CE8=$E$31, $F$31)</f>
        <v>0.75</v>
      </c>
      <c r="CG8">
        <f>1 - ((CF8-CD8)^2) + (1 *CD8)</f>
        <v>1.9375</v>
      </c>
      <c r="CH8">
        <v>1980</v>
      </c>
      <c r="CI8">
        <v>1</v>
      </c>
      <c r="CJ8">
        <v>4</v>
      </c>
      <c r="CK8" cm="1">
        <f t="array" ref="CK8">_xlfn.IFS(CJ8=$E$25, $F$25, CJ8=$E$26, $F$26, CJ8=$E$27, $F$27, CJ8=$E$28, $F$28, CJ8=$E$29, $F$29, CJ8=$E$30, $F$30, CJ8=$E$31, $F$31)</f>
        <v>0.5</v>
      </c>
      <c r="CL8">
        <f>1 - ((CK8-CI8)^2) + (1 *CI8)</f>
        <v>1.75</v>
      </c>
      <c r="CM8" t="s">
        <v>72</v>
      </c>
      <c r="CN8">
        <v>0</v>
      </c>
      <c r="CO8">
        <v>4</v>
      </c>
      <c r="CP8" cm="1">
        <f t="array" ref="CP8">_xlfn.IFS(CO8=$E$25, $F$25, CO8=$E$26, $F$26, CO8=$E$27, $F$27, CO8=$E$28, $F$28, CO8=$E$29, $F$29, CO8=$E$30, $F$30, CO8=$E$31, $F$31)</f>
        <v>0.5</v>
      </c>
      <c r="CQ8">
        <f>1 - ((CP8-CN8)^2) + (1 *CN8)</f>
        <v>0.75</v>
      </c>
      <c r="CR8">
        <v>12</v>
      </c>
      <c r="CS8">
        <v>1</v>
      </c>
      <c r="CT8">
        <v>1</v>
      </c>
      <c r="CU8" cm="1">
        <f t="array" ref="CU8">_xlfn.IFS(CT8=$E$25, $F$25, CT8=$E$26, $F$26, CT8=$E$27, $F$27, CT8=$E$28, $F$28, CT8=$E$29, $F$29, CT8=$E$30, $F$30, CT8=$E$31, $F$31)</f>
        <v>0.1</v>
      </c>
      <c r="CV8">
        <f>1 - ((CU8-CS8)^2) + (1 *CS8)</f>
        <v>1.19</v>
      </c>
      <c r="CW8" t="s">
        <v>106</v>
      </c>
      <c r="CX8">
        <v>0</v>
      </c>
      <c r="CY8">
        <v>7</v>
      </c>
      <c r="CZ8" cm="1">
        <f t="array" ref="CZ8">_xlfn.IFS(CY8=$E$25, $F$25, CY8=$E$26, $F$26, CY8=$E$27, $F$27, CY8=$E$28, $F$28, CY8=$E$29, $F$29, CY8=$E$30, $F$30, CY8=$E$31, $F$31)</f>
        <v>0.9</v>
      </c>
      <c r="DA8">
        <f>1 - ((CZ8-CX8)^2) + (1 *CX8)</f>
        <v>0.18999999999999995</v>
      </c>
    </row>
    <row r="9" spans="1:105">
      <c r="A9" s="3">
        <v>45987.644062500003</v>
      </c>
      <c r="B9">
        <v>10</v>
      </c>
      <c r="C9" s="2">
        <f>ROUND(SUMIF($F$1:$CS$1, "Weighted Score", $F9:$CS9),2)</f>
        <v>26.78</v>
      </c>
      <c r="D9" t="s">
        <v>107</v>
      </c>
      <c r="E9" t="s">
        <v>108</v>
      </c>
      <c r="F9" t="s">
        <v>103</v>
      </c>
      <c r="G9">
        <v>0</v>
      </c>
      <c r="H9">
        <v>4</v>
      </c>
      <c r="I9" cm="1">
        <f t="array" ref="I9">_xlfn.IFS(H9=$E$25, $F$25, H9=$E$26, $F$26, H9=$E$27, $F$27, H9=$E$28, $F$28, H9=$E$29, $F$29, H9=$E$30, $F$30, H9=$E$31, $F$31)</f>
        <v>0.5</v>
      </c>
      <c r="J9">
        <f>1 - ((I9-G9)^2) + (1 *G9)</f>
        <v>0.75</v>
      </c>
      <c r="K9" t="s">
        <v>51</v>
      </c>
      <c r="L9">
        <v>1</v>
      </c>
      <c r="M9">
        <v>7</v>
      </c>
      <c r="N9" cm="1">
        <f t="array" ref="N9">_xlfn.IFS(M9=$E$25, $F$25, M9=$E$26, $F$26, M9=$E$27, $F$27, M9=$E$28, $F$28, M9=$E$29, $F$29, M9=$E$30, $F$30, M9=$E$31, $F$31)</f>
        <v>0.9</v>
      </c>
      <c r="O9">
        <f>1 - ((N9-L9)^2) + (1 *L9)</f>
        <v>1.99</v>
      </c>
      <c r="P9">
        <v>1989</v>
      </c>
      <c r="Q9">
        <v>0</v>
      </c>
      <c r="R9">
        <v>5</v>
      </c>
      <c r="S9" cm="1">
        <f t="array" ref="S9">_xlfn.IFS(R9=$E$25, $F$25, R9=$E$26, $F$26, R9=$E$27, $F$27, R9=$E$28, $F$28, R9=$E$29, $F$29, R9=$E$30, $F$30, R9=$E$31, $F$31)</f>
        <v>0.6</v>
      </c>
      <c r="T9">
        <f>1 - ((S9-Q9)^2) + (1 *Q9)</f>
        <v>0.64</v>
      </c>
      <c r="U9">
        <v>18</v>
      </c>
      <c r="V9">
        <v>1</v>
      </c>
      <c r="W9">
        <v>7</v>
      </c>
      <c r="X9" cm="1">
        <f t="array" ref="X9">_xlfn.IFS(W9=$E$25, $F$25, W9=$E$26, $F$26, W9=$E$27, $F$27, W9=$E$28, $F$28, W9=$E$29, $F$29, W9=$E$30, $F$30, W9=$E$31, $F$31)</f>
        <v>0.9</v>
      </c>
      <c r="Y9">
        <f>1 - ((X9-V9)^2) + (1 *V9)</f>
        <v>1.99</v>
      </c>
      <c r="Z9" s="1">
        <v>0.05</v>
      </c>
      <c r="AA9">
        <v>1</v>
      </c>
      <c r="AB9">
        <v>7</v>
      </c>
      <c r="AC9" cm="1">
        <f t="array" ref="AC9">_xlfn.IFS(AB9=$E$25, $F$25, AB9=$E$26, $F$26, AB9=$E$27, $F$27, AB9=$E$28, $F$28, AB9=$E$29, $F$29, AB9=$E$30, $F$30, AB9=$E$31, $F$31)</f>
        <v>0.9</v>
      </c>
      <c r="AD9">
        <f>1 - ((AC9-AA9)^2) + (1 *AA9)</f>
        <v>1.99</v>
      </c>
      <c r="AE9" s="1">
        <v>0.22</v>
      </c>
      <c r="AF9">
        <v>0</v>
      </c>
      <c r="AG9">
        <v>5</v>
      </c>
      <c r="AH9" cm="1">
        <f t="array" ref="AH9">_xlfn.IFS(AG9=$E$25, $F$25, AG9=$E$26, $F$26, AG9=$E$27, $F$27, AG9=$E$28, $F$28, AG9=$E$29, $F$29, AG9=$E$30, $F$30, AG9=$E$31, $F$31)</f>
        <v>0.6</v>
      </c>
      <c r="AI9">
        <f>1 - ((AH9-AF9)^2) + (1 *AF9)</f>
        <v>0.64</v>
      </c>
      <c r="AJ9" t="s">
        <v>52</v>
      </c>
      <c r="AK9">
        <v>1</v>
      </c>
      <c r="AL9">
        <v>7</v>
      </c>
      <c r="AM9" cm="1">
        <f t="array" ref="AM9">_xlfn.IFS(AL9=$E$25, $F$25, AL9=$E$26, $F$26, AL9=$E$27, $F$27, AL9=$E$28, $F$28, AL9=$E$29, $F$29, AL9=$E$30, $F$30, AL9=$E$31, $F$31)</f>
        <v>0.9</v>
      </c>
      <c r="AN9">
        <f>1 - ((AM9-AK9)^2) + (1 *AK9)</f>
        <v>1.99</v>
      </c>
      <c r="AO9" t="s">
        <v>109</v>
      </c>
      <c r="AP9">
        <v>0</v>
      </c>
      <c r="AQ9">
        <v>1</v>
      </c>
      <c r="AR9" cm="1">
        <f t="array" ref="AR9">_xlfn.IFS(AQ9=$E$25, $F$25, AQ9=$E$26, $F$26, AQ9=$E$27, $F$27, AQ9=$E$28, $F$28, AQ9=$E$29, $F$29, AQ9=$E$30, $F$30, AQ9=$E$31, $F$31)</f>
        <v>0.1</v>
      </c>
      <c r="AS9">
        <f>1 - ((AR9-AP9)^2) + (1 *AP9)</f>
        <v>0.99</v>
      </c>
      <c r="AT9" t="s">
        <v>54</v>
      </c>
      <c r="AU9">
        <v>1</v>
      </c>
      <c r="AV9">
        <v>7</v>
      </c>
      <c r="AW9" cm="1">
        <f t="array" ref="AW9">_xlfn.IFS(AV9=$E$25, $F$25, AV9=$E$26, $F$26, AV9=$E$27, $F$27, AV9=$E$28, $F$28, AV9=$E$29, $F$29, AV9=$E$30, $F$30, AV9=$E$31, $F$31)</f>
        <v>0.9</v>
      </c>
      <c r="AX9">
        <f>1 - ((AW9-AU9)^2) + (1 *AU9)</f>
        <v>1.99</v>
      </c>
      <c r="AY9" t="s">
        <v>68</v>
      </c>
      <c r="AZ9">
        <v>1</v>
      </c>
      <c r="BA9">
        <v>7</v>
      </c>
      <c r="BB9" cm="1">
        <f t="array" ref="BB9">_xlfn.IFS(BA9=$E$25, $F$25, BA9=$E$26, $F$26, BA9=$E$27, $F$27, BA9=$E$28, $F$28, BA9=$E$29, $F$29, BA9=$E$30, $F$30, BA9=$E$31, $F$31)</f>
        <v>0.9</v>
      </c>
      <c r="BC9">
        <f>1 - ((BB9-AZ9)^2) + (1 *AZ9)</f>
        <v>1.99</v>
      </c>
      <c r="BD9" t="s">
        <v>110</v>
      </c>
      <c r="BE9">
        <v>0</v>
      </c>
      <c r="BF9">
        <v>1</v>
      </c>
      <c r="BG9" cm="1">
        <f t="array" ref="BG9">_xlfn.IFS(BF9=$E$25, $F$25, BF9=$E$26, $F$26, BF9=$E$27, $F$27, BF9=$E$28, $F$28, BF9=$E$29, $F$29, BF9=$E$30, $F$30, BF9=$E$31, $F$31)</f>
        <v>0.1</v>
      </c>
      <c r="BH9">
        <f>1 - ((BG9-BE9)^2) + (1 *BE9)</f>
        <v>0.99</v>
      </c>
      <c r="BI9" t="s">
        <v>111</v>
      </c>
      <c r="BJ9">
        <v>0</v>
      </c>
      <c r="BK9">
        <v>1</v>
      </c>
      <c r="BL9" cm="1">
        <f t="array" ref="BL9">_xlfn.IFS(BK9=$E$25, $F$25, BK9=$E$26, $F$26, BK9=$E$27, $F$27, BK9=$E$28, $F$28, BK9=$E$29, $F$29, BK9=$E$30, $F$30, BK9=$E$31, $F$31)</f>
        <v>0.1</v>
      </c>
      <c r="BM9">
        <f>1 - ((BL9-BJ9)^2) + (1 *BJ9)</f>
        <v>0.99</v>
      </c>
      <c r="BN9" t="s">
        <v>112</v>
      </c>
      <c r="BO9">
        <v>0</v>
      </c>
      <c r="BP9">
        <v>2</v>
      </c>
      <c r="BQ9" cm="1">
        <f t="array" ref="BQ9">_xlfn.IFS(BP9=$E$25, $F$25, BP9=$E$26, $F$26, BP9=$E$27, $F$27, BP9=$E$28, $F$28, BP9=$E$29, $F$29, BP9=$E$30, $F$30, BP9=$E$31, $F$31)</f>
        <v>0.25</v>
      </c>
      <c r="BR9">
        <f>1 - ((BQ9-BO9)^2) + (1 *BO9)</f>
        <v>0.9375</v>
      </c>
      <c r="BS9" t="s">
        <v>71</v>
      </c>
      <c r="BT9">
        <v>1</v>
      </c>
      <c r="BU9">
        <v>7</v>
      </c>
      <c r="BV9" cm="1">
        <f t="array" ref="BV9">_xlfn.IFS(BU9=$E$25, $F$25, BU9=$E$26, $F$26, BU9=$E$27, $F$27, BU9=$E$28, $F$28, BU9=$E$29, $F$29, BU9=$E$30, $F$30, BU9=$E$31, $F$31)</f>
        <v>0.9</v>
      </c>
      <c r="BW9">
        <f>1 - ((BV9-BT9)^2) + (1 *BT9)</f>
        <v>1.99</v>
      </c>
      <c r="BX9" t="s">
        <v>60</v>
      </c>
      <c r="BY9">
        <v>1</v>
      </c>
      <c r="BZ9">
        <v>7</v>
      </c>
      <c r="CA9" cm="1">
        <f t="array" ref="CA9">_xlfn.IFS(BZ9=$E$25, $F$25, BZ9=$E$26, $F$26, BZ9=$E$27, $F$27, BZ9=$E$28, $F$28, BZ9=$E$29, $F$29, BZ9=$E$30, $F$30, BZ9=$E$31, $F$31)</f>
        <v>0.9</v>
      </c>
      <c r="CB9">
        <f>1 - ((CA9-BY9)^2) + (1 *BY9)</f>
        <v>1.99</v>
      </c>
      <c r="CC9" t="s">
        <v>61</v>
      </c>
      <c r="CD9">
        <v>1</v>
      </c>
      <c r="CE9">
        <v>7</v>
      </c>
      <c r="CF9" cm="1">
        <f t="array" ref="CF9">_xlfn.IFS(CE9=$E$25, $F$25, CE9=$E$26, $F$26, CE9=$E$27, $F$27, CE9=$E$28, $F$28, CE9=$E$29, $F$29, CE9=$E$30, $F$30, CE9=$E$31, $F$31)</f>
        <v>0.9</v>
      </c>
      <c r="CG9">
        <f>1 - ((CF9-CD9)^2) + (1 *CD9)</f>
        <v>1.99</v>
      </c>
      <c r="CH9">
        <v>1980</v>
      </c>
      <c r="CI9">
        <v>1</v>
      </c>
      <c r="CJ9">
        <v>7</v>
      </c>
      <c r="CK9" cm="1">
        <f t="array" ref="CK9">_xlfn.IFS(CJ9=$E$25, $F$25, CJ9=$E$26, $F$26, CJ9=$E$27, $F$27, CJ9=$E$28, $F$28, CJ9=$E$29, $F$29, CJ9=$E$30, $F$30, CJ9=$E$31, $F$31)</f>
        <v>0.9</v>
      </c>
      <c r="CL9">
        <f>1 - ((CK9-CI9)^2) + (1 *CI9)</f>
        <v>1.99</v>
      </c>
      <c r="CM9" t="s">
        <v>99</v>
      </c>
      <c r="CN9">
        <v>0</v>
      </c>
      <c r="CO9">
        <v>2</v>
      </c>
      <c r="CP9" cm="1">
        <f t="array" ref="CP9">_xlfn.IFS(CO9=$E$25, $F$25, CO9=$E$26, $F$26, CO9=$E$27, $F$27, CO9=$E$28, $F$28, CO9=$E$29, $F$29, CO9=$E$30, $F$30, CO9=$E$31, $F$31)</f>
        <v>0.25</v>
      </c>
      <c r="CQ9">
        <f>1 - ((CP9-CN9)^2) + (1 *CN9)</f>
        <v>0.9375</v>
      </c>
      <c r="CR9">
        <v>6</v>
      </c>
      <c r="CS9">
        <v>0</v>
      </c>
      <c r="CT9">
        <v>1</v>
      </c>
      <c r="CU9" cm="1">
        <f t="array" ref="CU9">_xlfn.IFS(CT9=$E$25, $F$25, CT9=$E$26, $F$26, CT9=$E$27, $F$27, CT9=$E$28, $F$28, CT9=$E$29, $F$29, CT9=$E$30, $F$30, CT9=$E$31, $F$31)</f>
        <v>0.1</v>
      </c>
      <c r="CV9">
        <f>1 - ((CU9-CS9)^2) + (1 *CS9)</f>
        <v>0.99</v>
      </c>
      <c r="CW9" t="s">
        <v>113</v>
      </c>
      <c r="CX9">
        <v>0</v>
      </c>
      <c r="CY9">
        <v>7</v>
      </c>
      <c r="CZ9" cm="1">
        <f t="array" ref="CZ9">_xlfn.IFS(CY9=$E$25, $F$25, CY9=$E$26, $F$26, CY9=$E$27, $F$27, CY9=$E$28, $F$28, CY9=$E$29, $F$29, CY9=$E$30, $F$30, CY9=$E$31, $F$31)</f>
        <v>0.9</v>
      </c>
      <c r="DA9">
        <f>1 - ((CZ9-CX9)^2) + (1 *CX9)</f>
        <v>0.18999999999999995</v>
      </c>
    </row>
    <row r="10" spans="1:105">
      <c r="A10" s="3">
        <v>45987.672349537039</v>
      </c>
      <c r="B10">
        <v>10</v>
      </c>
      <c r="C10" s="2">
        <f>ROUND(SUMIF($F$1:$CS$1, "Weighted Score", $F10:$CS10),2)</f>
        <v>24.62</v>
      </c>
      <c r="D10" t="s">
        <v>114</v>
      </c>
      <c r="E10" t="s">
        <v>115</v>
      </c>
      <c r="F10" t="s">
        <v>50</v>
      </c>
      <c r="G10">
        <v>0</v>
      </c>
      <c r="H10">
        <v>5</v>
      </c>
      <c r="I10" cm="1">
        <f t="array" ref="I10">_xlfn.IFS(H10=$E$25, $F$25, H10=$E$26, $F$26, H10=$E$27, $F$27, H10=$E$28, $F$28, H10=$E$29, $F$29, H10=$E$30, $F$30, H10=$E$31, $F$31)</f>
        <v>0.6</v>
      </c>
      <c r="J10">
        <f>1 - ((I10-G10)^2) + (1 *G10)</f>
        <v>0.64</v>
      </c>
      <c r="K10" t="s">
        <v>51</v>
      </c>
      <c r="L10">
        <v>1</v>
      </c>
      <c r="M10">
        <v>6</v>
      </c>
      <c r="N10" cm="1">
        <f t="array" ref="N10">_xlfn.IFS(M10=$E$25, $F$25, M10=$E$26, $F$26, M10=$E$27, $F$27, M10=$E$28, $F$28, M10=$E$29, $F$29, M10=$E$30, $F$30, M10=$E$31, $F$31)</f>
        <v>0.75</v>
      </c>
      <c r="O10">
        <f>1 - ((N10-L10)^2) + (1 *L10)</f>
        <v>1.9375</v>
      </c>
      <c r="P10">
        <v>1989</v>
      </c>
      <c r="Q10">
        <v>0</v>
      </c>
      <c r="R10">
        <v>3</v>
      </c>
      <c r="S10" cm="1">
        <f t="array" ref="S10">_xlfn.IFS(R10=$E$25, $F$25, R10=$E$26, $F$26, R10=$E$27, $F$27, R10=$E$28, $F$28, R10=$E$29, $F$29, R10=$E$30, $F$30, R10=$E$31, $F$31)</f>
        <v>0.4</v>
      </c>
      <c r="T10">
        <f>1 - ((S10-Q10)^2) + (1 *Q10)</f>
        <v>0.84</v>
      </c>
      <c r="U10">
        <v>18</v>
      </c>
      <c r="V10">
        <v>1</v>
      </c>
      <c r="W10">
        <v>7</v>
      </c>
      <c r="X10" cm="1">
        <f t="array" ref="X10">_xlfn.IFS(W10=$E$25, $F$25, W10=$E$26, $F$26, W10=$E$27, $F$27, W10=$E$28, $F$28, W10=$E$29, $F$29, W10=$E$30, $F$30, W10=$E$31, $F$31)</f>
        <v>0.9</v>
      </c>
      <c r="Y10">
        <f>1 - ((X10-V10)^2) + (1 *V10)</f>
        <v>1.99</v>
      </c>
      <c r="Z10" s="1">
        <v>0.05</v>
      </c>
      <c r="AA10">
        <v>1</v>
      </c>
      <c r="AB10">
        <v>6</v>
      </c>
      <c r="AC10" cm="1">
        <f t="array" ref="AC10">_xlfn.IFS(AB10=$E$25, $F$25, AB10=$E$26, $F$26, AB10=$E$27, $F$27, AB10=$E$28, $F$28, AB10=$E$29, $F$29, AB10=$E$30, $F$30, AB10=$E$31, $F$31)</f>
        <v>0.75</v>
      </c>
      <c r="AD10">
        <f>1 - ((AC10-AA10)^2) + (1 *AA10)</f>
        <v>1.9375</v>
      </c>
      <c r="AE10" s="1">
        <v>0.2</v>
      </c>
      <c r="AF10">
        <v>1</v>
      </c>
      <c r="AG10">
        <v>7</v>
      </c>
      <c r="AH10" cm="1">
        <f t="array" ref="AH10">_xlfn.IFS(AG10=$E$25, $F$25, AG10=$E$26, $F$26, AG10=$E$27, $F$27, AG10=$E$28, $F$28, AG10=$E$29, $F$29, AG10=$E$30, $F$30, AG10=$E$31, $F$31)</f>
        <v>0.9</v>
      </c>
      <c r="AI10">
        <f>1 - ((AH10-AF10)^2) + (1 *AF10)</f>
        <v>1.99</v>
      </c>
      <c r="AJ10" t="s">
        <v>52</v>
      </c>
      <c r="AK10">
        <v>1</v>
      </c>
      <c r="AL10">
        <v>2</v>
      </c>
      <c r="AM10" cm="1">
        <f t="array" ref="AM10">_xlfn.IFS(AL10=$E$25, $F$25, AL10=$E$26, $F$26, AL10=$E$27, $F$27, AL10=$E$28, $F$28, AL10=$E$29, $F$29, AL10=$E$30, $F$30, AL10=$E$31, $F$31)</f>
        <v>0.25</v>
      </c>
      <c r="AN10">
        <f>1 - ((AM10-AK10)^2) + (1 *AK10)</f>
        <v>1.4375</v>
      </c>
      <c r="AO10" t="s">
        <v>53</v>
      </c>
      <c r="AP10">
        <v>1</v>
      </c>
      <c r="AQ10">
        <v>3</v>
      </c>
      <c r="AR10" cm="1">
        <f t="array" ref="AR10">_xlfn.IFS(AQ10=$E$25, $F$25, AQ10=$E$26, $F$26, AQ10=$E$27, $F$27, AQ10=$E$28, $F$28, AQ10=$E$29, $F$29, AQ10=$E$30, $F$30, AQ10=$E$31, $F$31)</f>
        <v>0.4</v>
      </c>
      <c r="AS10">
        <f>1 - ((AR10-AP10)^2) + (1 *AP10)</f>
        <v>1.6400000000000001</v>
      </c>
      <c r="AT10" t="s">
        <v>116</v>
      </c>
      <c r="AU10">
        <v>0</v>
      </c>
      <c r="AV10">
        <v>4</v>
      </c>
      <c r="AW10" cm="1">
        <f t="array" ref="AW10">_xlfn.IFS(AV10=$E$25, $F$25, AV10=$E$26, $F$26, AV10=$E$27, $F$27, AV10=$E$28, $F$28, AV10=$E$29, $F$29, AV10=$E$30, $F$30, AV10=$E$31, $F$31)</f>
        <v>0.5</v>
      </c>
      <c r="AX10">
        <f>1 - ((AW10-AU10)^2) + (1 *AU10)</f>
        <v>0.75</v>
      </c>
      <c r="AY10" t="s">
        <v>68</v>
      </c>
      <c r="AZ10">
        <v>1</v>
      </c>
      <c r="BA10">
        <v>4</v>
      </c>
      <c r="BB10" cm="1">
        <f t="array" ref="BB10">_xlfn.IFS(BA10=$E$25, $F$25, BA10=$E$26, $F$26, BA10=$E$27, $F$27, BA10=$E$28, $F$28, BA10=$E$29, $F$29, BA10=$E$30, $F$30, BA10=$E$31, $F$31)</f>
        <v>0.5</v>
      </c>
      <c r="BC10">
        <f>1 - ((BB10-AZ10)^2) + (1 *AZ10)</f>
        <v>1.75</v>
      </c>
      <c r="BD10" t="s">
        <v>117</v>
      </c>
      <c r="BE10">
        <v>0</v>
      </c>
      <c r="BF10">
        <v>1</v>
      </c>
      <c r="BG10" cm="1">
        <f t="array" ref="BG10">_xlfn.IFS(BF10=$E$25, $F$25, BF10=$E$26, $F$26, BF10=$E$27, $F$27, BF10=$E$28, $F$28, BF10=$E$29, $F$29, BF10=$E$30, $F$30, BF10=$E$31, $F$31)</f>
        <v>0.1</v>
      </c>
      <c r="BH10">
        <f>1 - ((BG10-BE10)^2) + (1 *BE10)</f>
        <v>0.99</v>
      </c>
      <c r="BI10" t="s">
        <v>118</v>
      </c>
      <c r="BJ10">
        <v>0</v>
      </c>
      <c r="BK10">
        <v>1</v>
      </c>
      <c r="BL10" cm="1">
        <f t="array" ref="BL10">_xlfn.IFS(BK10=$E$25, $F$25, BK10=$E$26, $F$26, BK10=$E$27, $F$27, BK10=$E$28, $F$28, BK10=$E$29, $F$29, BK10=$E$30, $F$30, BK10=$E$31, $F$31)</f>
        <v>0.1</v>
      </c>
      <c r="BM10">
        <f>1 - ((BL10-BJ10)^2) + (1 *BJ10)</f>
        <v>0.99</v>
      </c>
      <c r="BN10" t="s">
        <v>70</v>
      </c>
      <c r="BO10">
        <v>0</v>
      </c>
      <c r="BP10">
        <v>2</v>
      </c>
      <c r="BQ10" cm="1">
        <f t="array" ref="BQ10">_xlfn.IFS(BP10=$E$25, $F$25, BP10=$E$26, $F$26, BP10=$E$27, $F$27, BP10=$E$28, $F$28, BP10=$E$29, $F$29, BP10=$E$30, $F$30, BP10=$E$31, $F$31)</f>
        <v>0.25</v>
      </c>
      <c r="BR10">
        <f>1 - ((BQ10-BO10)^2) + (1 *BO10)</f>
        <v>0.9375</v>
      </c>
      <c r="BS10" t="s">
        <v>119</v>
      </c>
      <c r="BT10">
        <v>0</v>
      </c>
      <c r="BU10">
        <v>2</v>
      </c>
      <c r="BV10" cm="1">
        <f t="array" ref="BV10">_xlfn.IFS(BU10=$E$25, $F$25, BU10=$E$26, $F$26, BU10=$E$27, $F$27, BU10=$E$28, $F$28, BU10=$E$29, $F$29, BU10=$E$30, $F$30, BU10=$E$31, $F$31)</f>
        <v>0.25</v>
      </c>
      <c r="BW10">
        <f>1 - ((BV10-BT10)^2) + (1 *BT10)</f>
        <v>0.9375</v>
      </c>
      <c r="BX10" t="s">
        <v>60</v>
      </c>
      <c r="BY10">
        <v>1</v>
      </c>
      <c r="BZ10">
        <v>2</v>
      </c>
      <c r="CA10" cm="1">
        <f t="array" ref="CA10">_xlfn.IFS(BZ10=$E$25, $F$25, BZ10=$E$26, $F$26, BZ10=$E$27, $F$27, BZ10=$E$28, $F$28, BZ10=$E$29, $F$29, BZ10=$E$30, $F$30, BZ10=$E$31, $F$31)</f>
        <v>0.25</v>
      </c>
      <c r="CB10">
        <f>1 - ((CA10-BY10)^2) + (1 *BY10)</f>
        <v>1.4375</v>
      </c>
      <c r="CC10" t="s">
        <v>61</v>
      </c>
      <c r="CD10">
        <v>1</v>
      </c>
      <c r="CE10">
        <v>3</v>
      </c>
      <c r="CF10" cm="1">
        <f t="array" ref="CF10">_xlfn.IFS(CE10=$E$25, $F$25, CE10=$E$26, $F$26, CE10=$E$27, $F$27, CE10=$E$28, $F$28, CE10=$E$29, $F$29, CE10=$E$30, $F$30, CE10=$E$31, $F$31)</f>
        <v>0.4</v>
      </c>
      <c r="CG10">
        <f>1 - ((CF10-CD10)^2) + (1 *CD10)</f>
        <v>1.6400000000000001</v>
      </c>
      <c r="CH10">
        <v>1980</v>
      </c>
      <c r="CI10">
        <v>1</v>
      </c>
      <c r="CJ10">
        <v>5</v>
      </c>
      <c r="CK10" cm="1">
        <f t="array" ref="CK10">_xlfn.IFS(CJ10=$E$25, $F$25, CJ10=$E$26, $F$26, CJ10=$E$27, $F$27, CJ10=$E$28, $F$28, CJ10=$E$29, $F$29, CJ10=$E$30, $F$30, CJ10=$E$31, $F$31)</f>
        <v>0.6</v>
      </c>
      <c r="CL10">
        <f>1 - ((CK10-CI10)^2) + (1 *CI10)</f>
        <v>1.8399999999999999</v>
      </c>
      <c r="CM10" t="s">
        <v>62</v>
      </c>
      <c r="CN10">
        <v>0</v>
      </c>
      <c r="CO10">
        <v>2</v>
      </c>
      <c r="CP10" cm="1">
        <f t="array" ref="CP10">_xlfn.IFS(CO10=$E$25, $F$25, CO10=$E$26, $F$26, CO10=$E$27, $F$27, CO10=$E$28, $F$28, CO10=$E$29, $F$29, CO10=$E$30, $F$30, CO10=$E$31, $F$31)</f>
        <v>0.25</v>
      </c>
      <c r="CQ10">
        <f>1 - ((CP10-CN10)^2) + (1 *CN10)</f>
        <v>0.9375</v>
      </c>
      <c r="CR10">
        <v>8</v>
      </c>
      <c r="CS10">
        <v>0</v>
      </c>
      <c r="CT10">
        <v>3</v>
      </c>
      <c r="CU10" cm="1">
        <f t="array" ref="CU10">_xlfn.IFS(CT10=$E$25, $F$25, CT10=$E$26, $F$26, CT10=$E$27, $F$27, CT10=$E$28, $F$28, CT10=$E$29, $F$29, CT10=$E$30, $F$30, CT10=$E$31, $F$31)</f>
        <v>0.4</v>
      </c>
      <c r="CV10">
        <f>1 - ((CU10-CS10)^2) + (1 *CS10)</f>
        <v>0.84</v>
      </c>
      <c r="CW10" t="s">
        <v>82</v>
      </c>
      <c r="CX10">
        <v>0</v>
      </c>
      <c r="CY10">
        <v>2</v>
      </c>
      <c r="CZ10" cm="1">
        <f t="array" ref="CZ10">_xlfn.IFS(CY10=$E$25, $F$25, CY10=$E$26, $F$26, CY10=$E$27, $F$27, CY10=$E$28, $F$28, CY10=$E$29, $F$29, CY10=$E$30, $F$30, CY10=$E$31, $F$31)</f>
        <v>0.25</v>
      </c>
      <c r="DA10">
        <f>1 - ((CZ10-CX10)^2) + (1 *CX10)</f>
        <v>0.9375</v>
      </c>
    </row>
    <row r="11" spans="1:105">
      <c r="A11" s="3">
        <v>45994.585578703707</v>
      </c>
      <c r="B11">
        <v>12</v>
      </c>
      <c r="C11" s="2">
        <f>ROUND(SUMIF($F$1:$CS$1, "Weighted Score", $F11:$CS11),2)</f>
        <v>24.85</v>
      </c>
      <c r="D11" t="s">
        <v>120</v>
      </c>
      <c r="E11" t="s">
        <v>121</v>
      </c>
      <c r="F11" t="s">
        <v>50</v>
      </c>
      <c r="G11">
        <v>0</v>
      </c>
      <c r="H11">
        <v>7</v>
      </c>
      <c r="I11" cm="1">
        <f t="array" ref="I11">_xlfn.IFS(H11=$E$25, $F$25, H11=$E$26, $F$26, H11=$E$27, $F$27, H11=$E$28, $F$28, H11=$E$29, $F$29, H11=$E$30, $F$30, H11=$E$31, $F$31)</f>
        <v>0.9</v>
      </c>
      <c r="J11">
        <f>1 - ((I11-G11)^2) + (1 *G11)</f>
        <v>0.18999999999999995</v>
      </c>
      <c r="K11" t="s">
        <v>51</v>
      </c>
      <c r="L11">
        <v>1</v>
      </c>
      <c r="M11">
        <v>7</v>
      </c>
      <c r="N11" cm="1">
        <f t="array" ref="N11">_xlfn.IFS(M11=$E$25, $F$25, M11=$E$26, $F$26, M11=$E$27, $F$27, M11=$E$28, $F$28, M11=$E$29, $F$29, M11=$E$30, $F$30, M11=$E$31, $F$31)</f>
        <v>0.9</v>
      </c>
      <c r="O11">
        <f>1 - ((N11-L11)^2) + (1 *L11)</f>
        <v>1.99</v>
      </c>
      <c r="P11">
        <v>1998</v>
      </c>
      <c r="Q11">
        <v>1</v>
      </c>
      <c r="R11">
        <v>7</v>
      </c>
      <c r="S11" cm="1">
        <f t="array" ref="S11">_xlfn.IFS(R11=$E$25, $F$25, R11=$E$26, $F$26, R11=$E$27, $F$27, R11=$E$28, $F$28, R11=$E$29, $F$29, R11=$E$30, $F$30, R11=$E$31, $F$31)</f>
        <v>0.9</v>
      </c>
      <c r="T11">
        <f>1 - ((S11-Q11)^2) + (1 *Q11)</f>
        <v>1.99</v>
      </c>
      <c r="U11">
        <v>18</v>
      </c>
      <c r="V11">
        <v>1</v>
      </c>
      <c r="W11">
        <v>7</v>
      </c>
      <c r="X11" cm="1">
        <f t="array" ref="X11">_xlfn.IFS(W11=$E$25, $F$25, W11=$E$26, $F$26, W11=$E$27, $F$27, W11=$E$28, $F$28, W11=$E$29, $F$29, W11=$E$30, $F$30, W11=$E$31, $F$31)</f>
        <v>0.9</v>
      </c>
      <c r="Y11">
        <f>1 - ((X11-V11)^2) + (1 *V11)</f>
        <v>1.99</v>
      </c>
      <c r="Z11" s="1">
        <v>0.05</v>
      </c>
      <c r="AA11">
        <v>1</v>
      </c>
      <c r="AB11">
        <v>7</v>
      </c>
      <c r="AC11" cm="1">
        <f t="array" ref="AC11">_xlfn.IFS(AB11=$E$25, $F$25, AB11=$E$26, $F$26, AB11=$E$27, $F$27, AB11=$E$28, $F$28, AB11=$E$29, $F$29, AB11=$E$30, $F$30, AB11=$E$31, $F$31)</f>
        <v>0.9</v>
      </c>
      <c r="AD11">
        <f>1 - ((AC11-AA11)^2) + (1 *AA11)</f>
        <v>1.99</v>
      </c>
      <c r="AE11" s="1">
        <v>0.15</v>
      </c>
      <c r="AF11">
        <v>0</v>
      </c>
      <c r="AG11">
        <v>4</v>
      </c>
      <c r="AH11" cm="1">
        <f t="array" ref="AH11">_xlfn.IFS(AG11=$E$25, $F$25, AG11=$E$26, $F$26, AG11=$E$27, $F$27, AG11=$E$28, $F$28, AG11=$E$29, $F$29, AG11=$E$30, $F$30, AG11=$E$31, $F$31)</f>
        <v>0.5</v>
      </c>
      <c r="AI11">
        <f>1 - ((AH11-AF11)^2) + (1 *AF11)</f>
        <v>0.75</v>
      </c>
      <c r="AJ11" t="s">
        <v>122</v>
      </c>
      <c r="AK11">
        <v>0</v>
      </c>
      <c r="AL11">
        <v>5</v>
      </c>
      <c r="AM11" cm="1">
        <f t="array" ref="AM11">_xlfn.IFS(AL11=$E$25, $F$25, AL11=$E$26, $F$26, AL11=$E$27, $F$27, AL11=$E$28, $F$28, AL11=$E$29, $F$29, AL11=$E$30, $F$30, AL11=$E$31, $F$31)</f>
        <v>0.6</v>
      </c>
      <c r="AN11">
        <f>1 - ((AM11-AK11)^2) + (1 *AK11)</f>
        <v>0.64</v>
      </c>
      <c r="AO11" t="s">
        <v>53</v>
      </c>
      <c r="AP11">
        <v>1</v>
      </c>
      <c r="AQ11">
        <v>7</v>
      </c>
      <c r="AR11" cm="1">
        <f t="array" ref="AR11">_xlfn.IFS(AQ11=$E$25, $F$25, AQ11=$E$26, $F$26, AQ11=$E$27, $F$27, AQ11=$E$28, $F$28, AQ11=$E$29, $F$29, AQ11=$E$30, $F$30, AQ11=$E$31, $F$31)</f>
        <v>0.9</v>
      </c>
      <c r="AS11">
        <f>1 - ((AR11-AP11)^2) + (1 *AP11)</f>
        <v>1.99</v>
      </c>
      <c r="AT11" t="s">
        <v>54</v>
      </c>
      <c r="AU11">
        <v>1</v>
      </c>
      <c r="AV11">
        <v>5</v>
      </c>
      <c r="AW11" cm="1">
        <f t="array" ref="AW11">_xlfn.IFS(AV11=$E$25, $F$25, AV11=$E$26, $F$26, AV11=$E$27, $F$27, AV11=$E$28, $F$28, AV11=$E$29, $F$29, AV11=$E$30, $F$30, AV11=$E$31, $F$31)</f>
        <v>0.6</v>
      </c>
      <c r="AX11">
        <f>1 - ((AW11-AU11)^2) + (1 *AU11)</f>
        <v>1.8399999999999999</v>
      </c>
      <c r="AY11" t="s">
        <v>68</v>
      </c>
      <c r="AZ11">
        <v>1</v>
      </c>
      <c r="BA11">
        <v>7</v>
      </c>
      <c r="BB11" cm="1">
        <f t="array" ref="BB11">_xlfn.IFS(BA11=$E$25, $F$25, BA11=$E$26, $F$26, BA11=$E$27, $F$27, BA11=$E$28, $F$28, BA11=$E$29, $F$29, BA11=$E$30, $F$30, BA11=$E$31, $F$31)</f>
        <v>0.9</v>
      </c>
      <c r="BC11">
        <f>1 - ((BB11-AZ11)^2) + (1 *AZ11)</f>
        <v>1.99</v>
      </c>
      <c r="BD11" t="s">
        <v>123</v>
      </c>
      <c r="BE11">
        <v>0</v>
      </c>
      <c r="BF11">
        <v>1</v>
      </c>
      <c r="BG11" cm="1">
        <f t="array" ref="BG11">_xlfn.IFS(BF11=$E$25, $F$25, BF11=$E$26, $F$26, BF11=$E$27, $F$27, BF11=$E$28, $F$28, BF11=$E$29, $F$29, BF11=$E$30, $F$30, BF11=$E$31, $F$31)</f>
        <v>0.1</v>
      </c>
      <c r="BH11">
        <f>1 - ((BG11-BE11)^2) + (1 *BE11)</f>
        <v>0.99</v>
      </c>
      <c r="BI11" t="s">
        <v>124</v>
      </c>
      <c r="BJ11">
        <v>1</v>
      </c>
      <c r="BK11">
        <v>4</v>
      </c>
      <c r="BL11" cm="1">
        <f t="array" ref="BL11">_xlfn.IFS(BK11=$E$25, $F$25, BK11=$E$26, $F$26, BK11=$E$27, $F$27, BK11=$E$28, $F$28, BK11=$E$29, $F$29, BK11=$E$30, $F$30, BK11=$E$31, $F$31)</f>
        <v>0.5</v>
      </c>
      <c r="BM11">
        <f>1 - ((BL11-BJ11)^2) + (1 *BJ11)</f>
        <v>1.75</v>
      </c>
      <c r="BN11" t="s">
        <v>112</v>
      </c>
      <c r="BO11">
        <v>0</v>
      </c>
      <c r="BP11">
        <v>7</v>
      </c>
      <c r="BQ11" cm="1">
        <f t="array" ref="BQ11">_xlfn.IFS(BP11=$E$25, $F$25, BP11=$E$26, $F$26, BP11=$E$27, $F$27, BP11=$E$28, $F$28, BP11=$E$29, $F$29, BP11=$E$30, $F$30, BP11=$E$31, $F$31)</f>
        <v>0.9</v>
      </c>
      <c r="BR11">
        <f>1 - ((BQ11-BO11)^2) + (1 *BO11)</f>
        <v>0.18999999999999995</v>
      </c>
      <c r="BS11" t="s">
        <v>81</v>
      </c>
      <c r="BT11">
        <v>0</v>
      </c>
      <c r="BU11">
        <v>5</v>
      </c>
      <c r="BV11" cm="1">
        <f t="array" ref="BV11">_xlfn.IFS(BU11=$E$25, $F$25, BU11=$E$26, $F$26, BU11=$E$27, $F$27, BU11=$E$28, $F$28, BU11=$E$29, $F$29, BU11=$E$30, $F$30, BU11=$E$31, $F$31)</f>
        <v>0.6</v>
      </c>
      <c r="BW11">
        <f>1 - ((BV11-BT11)^2) + (1 *BT11)</f>
        <v>0.64</v>
      </c>
      <c r="BX11" t="s">
        <v>60</v>
      </c>
      <c r="BY11">
        <v>1</v>
      </c>
      <c r="BZ11">
        <v>7</v>
      </c>
      <c r="CA11" cm="1">
        <f t="array" ref="CA11">_xlfn.IFS(BZ11=$E$25, $F$25, BZ11=$E$26, $F$26, BZ11=$E$27, $F$27, BZ11=$E$28, $F$28, BZ11=$E$29, $F$29, BZ11=$E$30, $F$30, BZ11=$E$31, $F$31)</f>
        <v>0.9</v>
      </c>
      <c r="CB11">
        <f>1 - ((CA11-BY11)^2) + (1 *BY11)</f>
        <v>1.99</v>
      </c>
      <c r="CC11" t="s">
        <v>61</v>
      </c>
      <c r="CD11">
        <v>1</v>
      </c>
      <c r="CE11">
        <v>7</v>
      </c>
      <c r="CF11" cm="1">
        <f t="array" ref="CF11">_xlfn.IFS(CE11=$E$25, $F$25, CE11=$E$26, $F$26, CE11=$E$27, $F$27, CE11=$E$28, $F$28, CE11=$E$29, $F$29, CE11=$E$30, $F$30, CE11=$E$31, $F$31)</f>
        <v>0.9</v>
      </c>
      <c r="CG11">
        <f>1 - ((CF11-CD11)^2) + (1 *CD11)</f>
        <v>1.99</v>
      </c>
      <c r="CH11">
        <v>1980</v>
      </c>
      <c r="CI11">
        <v>1</v>
      </c>
      <c r="CJ11">
        <v>4</v>
      </c>
      <c r="CK11" cm="1">
        <f t="array" ref="CK11">_xlfn.IFS(CJ11=$E$25, $F$25, CJ11=$E$26, $F$26, CJ11=$E$27, $F$27, CJ11=$E$28, $F$28, CJ11=$E$29, $F$29, CJ11=$E$30, $F$30, CJ11=$E$31, $F$31)</f>
        <v>0.5</v>
      </c>
      <c r="CL11">
        <f>1 - ((CK11-CI11)^2) + (1 *CI11)</f>
        <v>1.75</v>
      </c>
      <c r="CM11" t="s">
        <v>72</v>
      </c>
      <c r="CN11">
        <v>0</v>
      </c>
      <c r="CO11">
        <v>7</v>
      </c>
      <c r="CP11" cm="1">
        <f t="array" ref="CP11">_xlfn.IFS(CO11=$E$25, $F$25, CO11=$E$26, $F$26, CO11=$E$27, $F$27, CO11=$E$28, $F$28, CO11=$E$29, $F$29, CO11=$E$30, $F$30, CO11=$E$31, $F$31)</f>
        <v>0.9</v>
      </c>
      <c r="CQ11">
        <f>1 - ((CP11-CN11)^2) + (1 *CN11)</f>
        <v>0.18999999999999995</v>
      </c>
      <c r="CR11">
        <v>15</v>
      </c>
      <c r="CS11">
        <v>0</v>
      </c>
      <c r="CT11">
        <v>7</v>
      </c>
      <c r="CU11" cm="1">
        <f t="array" ref="CU11">_xlfn.IFS(CT11=$E$25, $F$25, CT11=$E$26, $F$26, CT11=$E$27, $F$27, CT11=$E$28, $F$28, CT11=$E$29, $F$29, CT11=$E$30, $F$30, CT11=$E$31, $F$31)</f>
        <v>0.9</v>
      </c>
      <c r="CV11">
        <f>1 - ((CU11-CS11)^2) + (1 *CS11)</f>
        <v>0.18999999999999995</v>
      </c>
      <c r="CW11" t="s">
        <v>125</v>
      </c>
      <c r="CX11">
        <v>1</v>
      </c>
      <c r="CY11">
        <v>7</v>
      </c>
      <c r="CZ11" cm="1">
        <f t="array" ref="CZ11">_xlfn.IFS(CY11=$E$25, $F$25, CY11=$E$26, $F$26, CY11=$E$27, $F$27, CY11=$E$28, $F$28, CY11=$E$29, $F$29, CY11=$E$30, $F$30, CY11=$E$31, $F$31)</f>
        <v>0.9</v>
      </c>
      <c r="DA11">
        <f>1 - ((CZ11-CX11)^2) + (1 *CX11)</f>
        <v>1.99</v>
      </c>
    </row>
    <row r="12" spans="1:105">
      <c r="A12" s="3">
        <v>45994.585694444446</v>
      </c>
      <c r="B12">
        <v>13</v>
      </c>
      <c r="C12" s="2">
        <f>ROUND(SUMIF($F$1:$CS$1, "Weighted Score", $F12:$CS12),2)</f>
        <v>27.79</v>
      </c>
      <c r="D12" t="s">
        <v>126</v>
      </c>
      <c r="E12" t="s">
        <v>127</v>
      </c>
      <c r="F12" t="s">
        <v>85</v>
      </c>
      <c r="G12">
        <v>1</v>
      </c>
      <c r="H12">
        <v>7</v>
      </c>
      <c r="I12" cm="1">
        <f t="array" ref="I12">_xlfn.IFS(H12=$E$25, $F$25, H12=$E$26, $F$26, H12=$E$27, $F$27, H12=$E$28, $F$28, H12=$E$29, $F$29, H12=$E$30, $F$30, H12=$E$31, $F$31)</f>
        <v>0.9</v>
      </c>
      <c r="J12">
        <f>1 - ((I12-G12)^2) + (1 *G12)</f>
        <v>1.99</v>
      </c>
      <c r="K12" t="s">
        <v>51</v>
      </c>
      <c r="L12">
        <v>1</v>
      </c>
      <c r="M12">
        <v>5</v>
      </c>
      <c r="N12" cm="1">
        <f t="array" ref="N12">_xlfn.IFS(M12=$E$25, $F$25, M12=$E$26, $F$26, M12=$E$27, $F$27, M12=$E$28, $F$28, M12=$E$29, $F$29, M12=$E$30, $F$30, M12=$E$31, $F$31)</f>
        <v>0.6</v>
      </c>
      <c r="O12">
        <f>1 - ((N12-L12)^2) + (1 *L12)</f>
        <v>1.8399999999999999</v>
      </c>
      <c r="P12">
        <v>1990</v>
      </c>
      <c r="Q12">
        <v>0</v>
      </c>
      <c r="R12">
        <v>4</v>
      </c>
      <c r="S12" cm="1">
        <f t="array" ref="S12">_xlfn.IFS(R12=$E$25, $F$25, R12=$E$26, $F$26, R12=$E$27, $F$27, R12=$E$28, $F$28, R12=$E$29, $F$29, R12=$E$30, $F$30, R12=$E$31, $F$31)</f>
        <v>0.5</v>
      </c>
      <c r="T12">
        <f>1 - ((S12-Q12)^2) + (1 *Q12)</f>
        <v>0.75</v>
      </c>
      <c r="U12">
        <v>18</v>
      </c>
      <c r="V12">
        <v>1</v>
      </c>
      <c r="W12">
        <v>7</v>
      </c>
      <c r="X12" cm="1">
        <f t="array" ref="X12">_xlfn.IFS(W12=$E$25, $F$25, W12=$E$26, $F$26, W12=$E$27, $F$27, W12=$E$28, $F$28, W12=$E$29, $F$29, W12=$E$30, $F$30, W12=$E$31, $F$31)</f>
        <v>0.9</v>
      </c>
      <c r="Y12">
        <f>1 - ((X12-V12)^2) + (1 *V12)</f>
        <v>1.99</v>
      </c>
      <c r="Z12" s="1">
        <v>0.05</v>
      </c>
      <c r="AA12">
        <v>1</v>
      </c>
      <c r="AB12">
        <v>7</v>
      </c>
      <c r="AC12" cm="1">
        <f t="array" ref="AC12">_xlfn.IFS(AB12=$E$25, $F$25, AB12=$E$26, $F$26, AB12=$E$27, $F$27, AB12=$E$28, $F$28, AB12=$E$29, $F$29, AB12=$E$30, $F$30, AB12=$E$31, $F$31)</f>
        <v>0.9</v>
      </c>
      <c r="AD12">
        <f>1 - ((AC12-AA12)^2) + (1 *AA12)</f>
        <v>1.99</v>
      </c>
      <c r="AE12" s="1">
        <v>0.22</v>
      </c>
      <c r="AF12">
        <v>0</v>
      </c>
      <c r="AG12">
        <v>2</v>
      </c>
      <c r="AH12" cm="1">
        <f t="array" ref="AH12">_xlfn.IFS(AG12=$E$25, $F$25, AG12=$E$26, $F$26, AG12=$E$27, $F$27, AG12=$E$28, $F$28, AG12=$E$29, $F$29, AG12=$E$30, $F$30, AG12=$E$31, $F$31)</f>
        <v>0.25</v>
      </c>
      <c r="AI12">
        <f>1 - ((AH12-AF12)^2) + (1 *AF12)</f>
        <v>0.9375</v>
      </c>
      <c r="AJ12" t="s">
        <v>52</v>
      </c>
      <c r="AK12">
        <v>1</v>
      </c>
      <c r="AL12">
        <v>7</v>
      </c>
      <c r="AM12" cm="1">
        <f t="array" ref="AM12">_xlfn.IFS(AL12=$E$25, $F$25, AL12=$E$26, $F$26, AL12=$E$27, $F$27, AL12=$E$28, $F$28, AL12=$E$29, $F$29, AL12=$E$30, $F$30, AL12=$E$31, $F$31)</f>
        <v>0.9</v>
      </c>
      <c r="AN12">
        <f>1 - ((AM12-AK12)^2) + (1 *AK12)</f>
        <v>1.99</v>
      </c>
      <c r="AO12" t="s">
        <v>53</v>
      </c>
      <c r="AP12">
        <v>1</v>
      </c>
      <c r="AQ12">
        <v>7</v>
      </c>
      <c r="AR12" cm="1">
        <f t="array" ref="AR12">_xlfn.IFS(AQ12=$E$25, $F$25, AQ12=$E$26, $F$26, AQ12=$E$27, $F$27, AQ12=$E$28, $F$28, AQ12=$E$29, $F$29, AQ12=$E$30, $F$30, AQ12=$E$31, $F$31)</f>
        <v>0.9</v>
      </c>
      <c r="AS12">
        <f>1 - ((AR12-AP12)^2) + (1 *AP12)</f>
        <v>1.99</v>
      </c>
      <c r="AT12" t="s">
        <v>54</v>
      </c>
      <c r="AU12">
        <v>1</v>
      </c>
      <c r="AV12">
        <v>7</v>
      </c>
      <c r="AW12" cm="1">
        <f t="array" ref="AW12">_xlfn.IFS(AV12=$E$25, $F$25, AV12=$E$26, $F$26, AV12=$E$27, $F$27, AV12=$E$28, $F$28, AV12=$E$29, $F$29, AV12=$E$30, $F$30, AV12=$E$31, $F$31)</f>
        <v>0.9</v>
      </c>
      <c r="AX12">
        <f>1 - ((AW12-AU12)^2) + (1 *AU12)</f>
        <v>1.99</v>
      </c>
      <c r="AY12" t="s">
        <v>68</v>
      </c>
      <c r="AZ12">
        <v>1</v>
      </c>
      <c r="BA12">
        <v>7</v>
      </c>
      <c r="BB12" cm="1">
        <f t="array" ref="BB12">_xlfn.IFS(BA12=$E$25, $F$25, BA12=$E$26, $F$26, BA12=$E$27, $F$27, BA12=$E$28, $F$28, BA12=$E$29, $F$29, BA12=$E$30, $F$30, BA12=$E$31, $F$31)</f>
        <v>0.9</v>
      </c>
      <c r="BC12">
        <f>1 - ((BB12-AZ12)^2) + (1 *AZ12)</f>
        <v>1.99</v>
      </c>
      <c r="BD12" t="s">
        <v>69</v>
      </c>
      <c r="BE12">
        <v>0</v>
      </c>
      <c r="BF12">
        <v>1</v>
      </c>
      <c r="BG12" cm="1">
        <f t="array" ref="BG12">_xlfn.IFS(BF12=$E$25, $F$25, BF12=$E$26, $F$26, BF12=$E$27, $F$27, BF12=$E$28, $F$28, BF12=$E$29, $F$29, BF12=$E$30, $F$30, BF12=$E$31, $F$31)</f>
        <v>0.1</v>
      </c>
      <c r="BH12">
        <f>1 - ((BG12-BE12)^2) + (1 *BE12)</f>
        <v>0.99</v>
      </c>
      <c r="BI12" t="s">
        <v>69</v>
      </c>
      <c r="BJ12">
        <v>0</v>
      </c>
      <c r="BK12">
        <v>1</v>
      </c>
      <c r="BL12" cm="1">
        <f t="array" ref="BL12">_xlfn.IFS(BK12=$E$25, $F$25, BK12=$E$26, $F$26, BK12=$E$27, $F$27, BK12=$E$28, $F$28, BK12=$E$29, $F$29, BK12=$E$30, $F$30, BK12=$E$31, $F$31)</f>
        <v>0.1</v>
      </c>
      <c r="BM12">
        <f>1 - ((BL12-BJ12)^2) + (1 *BJ12)</f>
        <v>0.99</v>
      </c>
      <c r="BN12" t="s">
        <v>88</v>
      </c>
      <c r="BO12">
        <v>1</v>
      </c>
      <c r="BP12">
        <v>4</v>
      </c>
      <c r="BQ12" cm="1">
        <f t="array" ref="BQ12">_xlfn.IFS(BP12=$E$25, $F$25, BP12=$E$26, $F$26, BP12=$E$27, $F$27, BP12=$E$28, $F$28, BP12=$E$29, $F$29, BP12=$E$30, $F$30, BP12=$E$31, $F$31)</f>
        <v>0.5</v>
      </c>
      <c r="BR12">
        <f>1 - ((BQ12-BO12)^2) + (1 *BO12)</f>
        <v>1.75</v>
      </c>
      <c r="BS12" t="s">
        <v>59</v>
      </c>
      <c r="BT12">
        <v>0</v>
      </c>
      <c r="BU12">
        <v>6</v>
      </c>
      <c r="BV12" cm="1">
        <f t="array" ref="BV12">_xlfn.IFS(BU12=$E$25, $F$25, BU12=$E$26, $F$26, BU12=$E$27, $F$27, BU12=$E$28, $F$28, BU12=$E$29, $F$29, BU12=$E$30, $F$30, BU12=$E$31, $F$31)</f>
        <v>0.75</v>
      </c>
      <c r="BW12">
        <f>1 - ((BV12-BT12)^2) + (1 *BT12)</f>
        <v>0.4375</v>
      </c>
      <c r="BX12" t="s">
        <v>60</v>
      </c>
      <c r="BY12">
        <v>1</v>
      </c>
      <c r="BZ12">
        <v>7</v>
      </c>
      <c r="CA12" cm="1">
        <f t="array" ref="CA12">_xlfn.IFS(BZ12=$E$25, $F$25, BZ12=$E$26, $F$26, BZ12=$E$27, $F$27, BZ12=$E$28, $F$28, BZ12=$E$29, $F$29, BZ12=$E$30, $F$30, BZ12=$E$31, $F$31)</f>
        <v>0.9</v>
      </c>
      <c r="CB12">
        <f>1 - ((CA12-BY12)^2) + (1 *BY12)</f>
        <v>1.99</v>
      </c>
      <c r="CC12" t="s">
        <v>61</v>
      </c>
      <c r="CD12">
        <v>1</v>
      </c>
      <c r="CE12">
        <v>7</v>
      </c>
      <c r="CF12" cm="1">
        <f t="array" ref="CF12">_xlfn.IFS(CE12=$E$25, $F$25, CE12=$E$26, $F$26, CE12=$E$27, $F$27, CE12=$E$28, $F$28, CE12=$E$29, $F$29, CE12=$E$30, $F$30, CE12=$E$31, $F$31)</f>
        <v>0.9</v>
      </c>
      <c r="CG12">
        <f>1 - ((CF12-CD12)^2) + (1 *CD12)</f>
        <v>1.99</v>
      </c>
      <c r="CH12">
        <v>1980</v>
      </c>
      <c r="CI12">
        <v>1</v>
      </c>
      <c r="CJ12">
        <v>7</v>
      </c>
      <c r="CK12" cm="1">
        <f t="array" ref="CK12">_xlfn.IFS(CJ12=$E$25, $F$25, CJ12=$E$26, $F$26, CJ12=$E$27, $F$27, CJ12=$E$28, $F$28, CJ12=$E$29, $F$29, CJ12=$E$30, $F$30, CJ12=$E$31, $F$31)</f>
        <v>0.9</v>
      </c>
      <c r="CL12">
        <f>1 - ((CK12-CI12)^2) + (1 *CI12)</f>
        <v>1.99</v>
      </c>
      <c r="CM12" t="s">
        <v>72</v>
      </c>
      <c r="CN12">
        <v>0</v>
      </c>
      <c r="CO12">
        <v>7</v>
      </c>
      <c r="CP12" cm="1">
        <f t="array" ref="CP12">_xlfn.IFS(CO12=$E$25, $F$25, CO12=$E$26, $F$26, CO12=$E$27, $F$27, CO12=$E$28, $F$28, CO12=$E$29, $F$29, CO12=$E$30, $F$30, CO12=$E$31, $F$31)</f>
        <v>0.9</v>
      </c>
      <c r="CQ12">
        <f>1 - ((CP12-CN12)^2) + (1 *CN12)</f>
        <v>0.18999999999999995</v>
      </c>
      <c r="CR12">
        <v>3</v>
      </c>
      <c r="CS12">
        <v>0</v>
      </c>
      <c r="CT12">
        <v>3</v>
      </c>
      <c r="CU12" cm="1">
        <f t="array" ref="CU12">_xlfn.IFS(CT12=$E$25, $F$25, CT12=$E$26, $F$26, CT12=$E$27, $F$27, CT12=$E$28, $F$28, CT12=$E$29, $F$29, CT12=$E$30, $F$30, CT12=$E$31, $F$31)</f>
        <v>0.4</v>
      </c>
      <c r="CV12">
        <f>1 - ((CU12-CS12)^2) + (1 *CS12)</f>
        <v>0.84</v>
      </c>
      <c r="CW12" t="s">
        <v>128</v>
      </c>
      <c r="CX12">
        <v>1</v>
      </c>
      <c r="CY12">
        <v>7</v>
      </c>
      <c r="CZ12" cm="1">
        <f t="array" ref="CZ12">_xlfn.IFS(CY12=$E$25, $F$25, CY12=$E$26, $F$26, CY12=$E$27, $F$27, CY12=$E$28, $F$28, CY12=$E$29, $F$29, CY12=$E$30, $F$30, CY12=$E$31, $F$31)</f>
        <v>0.9</v>
      </c>
      <c r="DA12">
        <f>1 - ((CZ12-CX12)^2) + (1 *CX12)</f>
        <v>1.99</v>
      </c>
    </row>
    <row r="13" spans="1:105">
      <c r="A13" s="3">
        <v>45994.585798611108</v>
      </c>
      <c r="B13">
        <v>15</v>
      </c>
      <c r="C13" s="2">
        <f>ROUND(SUMIF($F$1:$CS$1, "Weighted Score", $F13:$CS13),2)</f>
        <v>29.2</v>
      </c>
      <c r="D13" t="s">
        <v>129</v>
      </c>
      <c r="E13" t="s">
        <v>130</v>
      </c>
      <c r="F13" t="s">
        <v>85</v>
      </c>
      <c r="G13">
        <v>1</v>
      </c>
      <c r="H13">
        <v>7</v>
      </c>
      <c r="I13" cm="1">
        <f t="array" ref="I13">_xlfn.IFS(H13=$E$25, $F$25, H13=$E$26, $F$26, H13=$E$27, $F$27, H13=$E$28, $F$28, H13=$E$29, $F$29, H13=$E$30, $F$30, H13=$E$31, $F$31)</f>
        <v>0.9</v>
      </c>
      <c r="J13">
        <f>1 - ((I13-G13)^2) + (1 *G13)</f>
        <v>1.99</v>
      </c>
      <c r="K13" t="s">
        <v>51</v>
      </c>
      <c r="L13">
        <v>1</v>
      </c>
      <c r="M13">
        <v>5</v>
      </c>
      <c r="N13" cm="1">
        <f t="array" ref="N13">_xlfn.IFS(M13=$E$25, $F$25, M13=$E$26, $F$26, M13=$E$27, $F$27, M13=$E$28, $F$28, M13=$E$29, $F$29, M13=$E$30, $F$30, M13=$E$31, $F$31)</f>
        <v>0.6</v>
      </c>
      <c r="O13">
        <f>1 - ((N13-L13)^2) + (1 *L13)</f>
        <v>1.8399999999999999</v>
      </c>
      <c r="P13" t="s">
        <v>131</v>
      </c>
      <c r="Q13">
        <v>0</v>
      </c>
      <c r="R13">
        <v>1</v>
      </c>
      <c r="S13" cm="1">
        <f t="array" ref="S13">_xlfn.IFS(R13=$E$25, $F$25, R13=$E$26, $F$26, R13=$E$27, $F$27, R13=$E$28, $F$28, R13=$E$29, $F$29, R13=$E$30, $F$30, R13=$E$31, $F$31)</f>
        <v>0.1</v>
      </c>
      <c r="T13">
        <f>1 - ((S13-Q13)^2) + (1 *Q13)</f>
        <v>0.99</v>
      </c>
      <c r="U13">
        <v>18</v>
      </c>
      <c r="V13">
        <v>1</v>
      </c>
      <c r="W13">
        <v>7</v>
      </c>
      <c r="X13" cm="1">
        <f t="array" ref="X13">_xlfn.IFS(W13=$E$25, $F$25, W13=$E$26, $F$26, W13=$E$27, $F$27, W13=$E$28, $F$28, W13=$E$29, $F$29, W13=$E$30, $F$30, W13=$E$31, $F$31)</f>
        <v>0.9</v>
      </c>
      <c r="Y13">
        <f>1 - ((X13-V13)^2) + (1 *V13)</f>
        <v>1.99</v>
      </c>
      <c r="Z13">
        <v>5</v>
      </c>
      <c r="AA13">
        <v>1</v>
      </c>
      <c r="AB13">
        <v>7</v>
      </c>
      <c r="AC13" cm="1">
        <f t="array" ref="AC13">_xlfn.IFS(AB13=$E$25, $F$25, AB13=$E$26, $F$26, AB13=$E$27, $F$27, AB13=$E$28, $F$28, AB13=$E$29, $F$29, AB13=$E$30, $F$30, AB13=$E$31, $F$31)</f>
        <v>0.9</v>
      </c>
      <c r="AD13">
        <f>1 - ((AC13-AA13)^2) + (1 *AA13)</f>
        <v>1.99</v>
      </c>
      <c r="AE13" s="1">
        <v>0.2</v>
      </c>
      <c r="AF13">
        <v>1</v>
      </c>
      <c r="AG13">
        <v>7</v>
      </c>
      <c r="AH13" cm="1">
        <f t="array" ref="AH13">_xlfn.IFS(AG13=$E$25, $F$25, AG13=$E$26, $F$26, AG13=$E$27, $F$27, AG13=$E$28, $F$28, AG13=$E$29, $F$29, AG13=$E$30, $F$30, AG13=$E$31, $F$31)</f>
        <v>0.9</v>
      </c>
      <c r="AI13">
        <f>1 - ((AH13-AF13)^2) + (1 *AF13)</f>
        <v>1.99</v>
      </c>
      <c r="AJ13" t="s">
        <v>52</v>
      </c>
      <c r="AK13">
        <v>1</v>
      </c>
      <c r="AL13">
        <v>7</v>
      </c>
      <c r="AM13" cm="1">
        <f t="array" ref="AM13">_xlfn.IFS(AL13=$E$25, $F$25, AL13=$E$26, $F$26, AL13=$E$27, $F$27, AL13=$E$28, $F$28, AL13=$E$29, $F$29, AL13=$E$30, $F$30, AL13=$E$31, $F$31)</f>
        <v>0.9</v>
      </c>
      <c r="AN13">
        <f>1 - ((AM13-AK13)^2) + (1 *AK13)</f>
        <v>1.99</v>
      </c>
      <c r="AO13" t="s">
        <v>67</v>
      </c>
      <c r="AP13">
        <v>0</v>
      </c>
      <c r="AQ13">
        <v>4</v>
      </c>
      <c r="AR13" cm="1">
        <f t="array" ref="AR13">_xlfn.IFS(AQ13=$E$25, $F$25, AQ13=$E$26, $F$26, AQ13=$E$27, $F$27, AQ13=$E$28, $F$28, AQ13=$E$29, $F$29, AQ13=$E$30, $F$30, AQ13=$E$31, $F$31)</f>
        <v>0.5</v>
      </c>
      <c r="AS13">
        <f>1 - ((AR13-AP13)^2) + (1 *AP13)</f>
        <v>0.75</v>
      </c>
      <c r="AT13" t="s">
        <v>54</v>
      </c>
      <c r="AU13">
        <v>1</v>
      </c>
      <c r="AV13">
        <v>5</v>
      </c>
      <c r="AW13" cm="1">
        <f t="array" ref="AW13">_xlfn.IFS(AV13=$E$25, $F$25, AV13=$E$26, $F$26, AV13=$E$27, $F$27, AV13=$E$28, $F$28, AV13=$E$29, $F$29, AV13=$E$30, $F$30, AV13=$E$31, $F$31)</f>
        <v>0.6</v>
      </c>
      <c r="AX13">
        <f>1 - ((AW13-AU13)^2) + (1 *AU13)</f>
        <v>1.8399999999999999</v>
      </c>
      <c r="AY13" t="s">
        <v>68</v>
      </c>
      <c r="AZ13">
        <v>1</v>
      </c>
      <c r="BA13">
        <v>6</v>
      </c>
      <c r="BB13" cm="1">
        <f t="array" ref="BB13">_xlfn.IFS(BA13=$E$25, $F$25, BA13=$E$26, $F$26, BA13=$E$27, $F$27, BA13=$E$28, $F$28, BA13=$E$29, $F$29, BA13=$E$30, $F$30, BA13=$E$31, $F$31)</f>
        <v>0.75</v>
      </c>
      <c r="BC13">
        <f>1 - ((BB13-AZ13)^2) + (1 *AZ13)</f>
        <v>1.9375</v>
      </c>
      <c r="BD13" t="s">
        <v>132</v>
      </c>
      <c r="BE13">
        <v>0</v>
      </c>
      <c r="BF13">
        <v>1</v>
      </c>
      <c r="BG13" cm="1">
        <f t="array" ref="BG13">_xlfn.IFS(BF13=$E$25, $F$25, BF13=$E$26, $F$26, BF13=$E$27, $F$27, BF13=$E$28, $F$28, BF13=$E$29, $F$29, BF13=$E$30, $F$30, BF13=$E$31, $F$31)</f>
        <v>0.1</v>
      </c>
      <c r="BH13">
        <f>1 - ((BG13-BE13)^2) + (1 *BE13)</f>
        <v>0.99</v>
      </c>
      <c r="BI13" t="s">
        <v>133</v>
      </c>
      <c r="BJ13">
        <v>0</v>
      </c>
      <c r="BK13">
        <v>1</v>
      </c>
      <c r="BL13" cm="1">
        <f t="array" ref="BL13">_xlfn.IFS(BK13=$E$25, $F$25, BK13=$E$26, $F$26, BK13=$E$27, $F$27, BK13=$E$28, $F$28, BK13=$E$29, $F$29, BK13=$E$30, $F$30, BK13=$E$31, $F$31)</f>
        <v>0.1</v>
      </c>
      <c r="BM13">
        <f>1 - ((BL13-BJ13)^2) + (1 *BJ13)</f>
        <v>0.99</v>
      </c>
      <c r="BN13" t="s">
        <v>112</v>
      </c>
      <c r="BO13">
        <v>0</v>
      </c>
      <c r="BP13">
        <v>5</v>
      </c>
      <c r="BQ13" cm="1">
        <f t="array" ref="BQ13">_xlfn.IFS(BP13=$E$25, $F$25, BP13=$E$26, $F$26, BP13=$E$27, $F$27, BP13=$E$28, $F$28, BP13=$E$29, $F$29, BP13=$E$30, $F$30, BP13=$E$31, $F$31)</f>
        <v>0.6</v>
      </c>
      <c r="BR13">
        <f>1 - ((BQ13-BO13)^2) + (1 *BO13)</f>
        <v>0.64</v>
      </c>
      <c r="BS13" t="s">
        <v>71</v>
      </c>
      <c r="BT13">
        <v>1</v>
      </c>
      <c r="BU13">
        <v>6</v>
      </c>
      <c r="BV13" cm="1">
        <f t="array" ref="BV13">_xlfn.IFS(BU13=$E$25, $F$25, BU13=$E$26, $F$26, BU13=$E$27, $F$27, BU13=$E$28, $F$28, BU13=$E$29, $F$29, BU13=$E$30, $F$30, BU13=$E$31, $F$31)</f>
        <v>0.75</v>
      </c>
      <c r="BW13">
        <f>1 - ((BV13-BT13)^2) + (1 *BT13)</f>
        <v>1.9375</v>
      </c>
      <c r="BX13" t="s">
        <v>60</v>
      </c>
      <c r="BY13">
        <v>1</v>
      </c>
      <c r="BZ13">
        <v>5</v>
      </c>
      <c r="CA13" cm="1">
        <f t="array" ref="CA13">_xlfn.IFS(BZ13=$E$25, $F$25, BZ13=$E$26, $F$26, BZ13=$E$27, $F$27, BZ13=$E$28, $F$28, BZ13=$E$29, $F$29, BZ13=$E$30, $F$30, BZ13=$E$31, $F$31)</f>
        <v>0.6</v>
      </c>
      <c r="CB13">
        <f>1 - ((CA13-BY13)^2) + (1 *BY13)</f>
        <v>1.8399999999999999</v>
      </c>
      <c r="CC13" t="s">
        <v>61</v>
      </c>
      <c r="CD13">
        <v>1</v>
      </c>
      <c r="CE13">
        <v>7</v>
      </c>
      <c r="CF13" cm="1">
        <f t="array" ref="CF13">_xlfn.IFS(CE13=$E$25, $F$25, CE13=$E$26, $F$26, CE13=$E$27, $F$27, CE13=$E$28, $F$28, CE13=$E$29, $F$29, CE13=$E$30, $F$30, CE13=$E$31, $F$31)</f>
        <v>0.9</v>
      </c>
      <c r="CG13">
        <f>1 - ((CF13-CD13)^2) + (1 *CD13)</f>
        <v>1.99</v>
      </c>
      <c r="CH13">
        <v>1980</v>
      </c>
      <c r="CI13">
        <v>1</v>
      </c>
      <c r="CJ13">
        <v>4</v>
      </c>
      <c r="CK13" cm="1">
        <f t="array" ref="CK13">_xlfn.IFS(CJ13=$E$25, $F$25, CJ13=$E$26, $F$26, CJ13=$E$27, $F$27, CJ13=$E$28, $F$28, CJ13=$E$29, $F$29, CJ13=$E$30, $F$30, CJ13=$E$31, $F$31)</f>
        <v>0.5</v>
      </c>
      <c r="CL13">
        <f>1 - ((CK13-CI13)^2) + (1 *CI13)</f>
        <v>1.75</v>
      </c>
      <c r="CM13" t="s">
        <v>134</v>
      </c>
      <c r="CN13">
        <v>1</v>
      </c>
      <c r="CO13">
        <v>4</v>
      </c>
      <c r="CP13" cm="1">
        <f t="array" ref="CP13">_xlfn.IFS(CO13=$E$25, $F$25, CO13=$E$26, $F$26, CO13=$E$27, $F$27, CO13=$E$28, $F$28, CO13=$E$29, $F$29, CO13=$E$30, $F$30, CO13=$E$31, $F$31)</f>
        <v>0.5</v>
      </c>
      <c r="CQ13">
        <f>1 - ((CP13-CN13)^2) + (1 *CN13)</f>
        <v>1.75</v>
      </c>
      <c r="CR13" t="s">
        <v>135</v>
      </c>
      <c r="CS13">
        <v>1</v>
      </c>
      <c r="CT13">
        <v>5</v>
      </c>
      <c r="CU13" cm="1">
        <f t="array" ref="CU13">_xlfn.IFS(CT13=$E$25, $F$25, CT13=$E$26, $F$26, CT13=$E$27, $F$27, CT13=$E$28, $F$28, CT13=$E$29, $F$29, CT13=$E$30, $F$30, CT13=$E$31, $F$31)</f>
        <v>0.6</v>
      </c>
      <c r="CV13">
        <f>1 - ((CU13-CS13)^2) + (1 *CS13)</f>
        <v>1.8399999999999999</v>
      </c>
      <c r="CW13" t="s">
        <v>136</v>
      </c>
      <c r="CX13">
        <v>1</v>
      </c>
      <c r="CY13">
        <v>6</v>
      </c>
      <c r="CZ13" cm="1">
        <f t="array" ref="CZ13">_xlfn.IFS(CY13=$E$25, $F$25, CY13=$E$26, $F$26, CY13=$E$27, $F$27, CY13=$E$28, $F$28, CY13=$E$29, $F$29, CY13=$E$30, $F$30, CY13=$E$31, $F$31)</f>
        <v>0.75</v>
      </c>
      <c r="DA13">
        <f>1 - ((CZ13-CX13)^2) + (1 *CX13)</f>
        <v>1.9375</v>
      </c>
    </row>
    <row r="14" spans="1:105">
      <c r="A14" s="3">
        <v>45994.586481481485</v>
      </c>
      <c r="B14">
        <v>4</v>
      </c>
      <c r="C14" s="2">
        <f>ROUND(SUMIF($F$1:$CS$1, "Weighted Score", $F14:$CS14),2)</f>
        <v>18.62</v>
      </c>
      <c r="D14" t="s">
        <v>137</v>
      </c>
      <c r="E14" t="s">
        <v>138</v>
      </c>
      <c r="F14" t="s">
        <v>103</v>
      </c>
      <c r="G14">
        <v>0</v>
      </c>
      <c r="H14">
        <v>1</v>
      </c>
      <c r="I14" cm="1">
        <f t="array" ref="I14">_xlfn.IFS(H14=$E$25, $F$25, H14=$E$26, $F$26, H14=$E$27, $F$27, H14=$E$28, $F$28, H14=$E$29, $F$29, H14=$E$30, $F$30, H14=$E$31, $F$31)</f>
        <v>0.1</v>
      </c>
      <c r="J14">
        <f>1 - ((I14-G14)^2) + (1 *G14)</f>
        <v>0.99</v>
      </c>
      <c r="K14" t="s">
        <v>139</v>
      </c>
      <c r="L14">
        <v>0</v>
      </c>
      <c r="M14">
        <v>1</v>
      </c>
      <c r="N14" cm="1">
        <f t="array" ref="N14">_xlfn.IFS(M14=$E$25, $F$25, M14=$E$26, $F$26, M14=$E$27, $F$27, M14=$E$28, $F$28, M14=$E$29, $F$29, M14=$E$30, $F$30, M14=$E$31, $F$31)</f>
        <v>0.1</v>
      </c>
      <c r="O14">
        <f>1 - ((N14-L14)^2) + (1 *L14)</f>
        <v>0.99</v>
      </c>
      <c r="P14" t="s">
        <v>131</v>
      </c>
      <c r="Q14">
        <v>0</v>
      </c>
      <c r="R14">
        <v>1</v>
      </c>
      <c r="S14" cm="1">
        <f t="array" ref="S14">_xlfn.IFS(R14=$E$25, $F$25, R14=$E$26, $F$26, R14=$E$27, $F$27, R14=$E$28, $F$28, R14=$E$29, $F$29, R14=$E$30, $F$30, R14=$E$31, $F$31)</f>
        <v>0.1</v>
      </c>
      <c r="T14">
        <f>1 - ((S14-Q14)^2) + (1 *Q14)</f>
        <v>0.99</v>
      </c>
      <c r="U14">
        <v>18</v>
      </c>
      <c r="V14">
        <v>1</v>
      </c>
      <c r="W14">
        <v>1</v>
      </c>
      <c r="X14" cm="1">
        <f t="array" ref="X14">_xlfn.IFS(W14=$E$25, $F$25, W14=$E$26, $F$26, W14=$E$27, $F$27, W14=$E$28, $F$28, W14=$E$29, $F$29, W14=$E$30, $F$30, W14=$E$31, $F$31)</f>
        <v>0.1</v>
      </c>
      <c r="Y14">
        <f>1 - ((X14-V14)^2) + (1 *V14)</f>
        <v>1.19</v>
      </c>
      <c r="Z14">
        <v>5</v>
      </c>
      <c r="AA14">
        <v>1</v>
      </c>
      <c r="AB14">
        <v>1</v>
      </c>
      <c r="AC14" cm="1">
        <f t="array" ref="AC14">_xlfn.IFS(AB14=$E$25, $F$25, AB14=$E$26, $F$26, AB14=$E$27, $F$27, AB14=$E$28, $F$28, AB14=$E$29, $F$29, AB14=$E$30, $F$30, AB14=$E$31, $F$31)</f>
        <v>0.1</v>
      </c>
      <c r="AD14">
        <f>1 - ((AC14-AA14)^2) + (1 *AA14)</f>
        <v>1.19</v>
      </c>
      <c r="AE14" s="1">
        <v>0.15</v>
      </c>
      <c r="AF14">
        <v>0</v>
      </c>
      <c r="AG14">
        <v>1</v>
      </c>
      <c r="AH14" cm="1">
        <f t="array" ref="AH14">_xlfn.IFS(AG14=$E$25, $F$25, AG14=$E$26, $F$26, AG14=$E$27, $F$27, AG14=$E$28, $F$28, AG14=$E$29, $F$29, AG14=$E$30, $F$30, AG14=$E$31, $F$31)</f>
        <v>0.1</v>
      </c>
      <c r="AI14">
        <f>1 - ((AH14-AF14)^2) + (1 *AF14)</f>
        <v>0.99</v>
      </c>
      <c r="AJ14" t="s">
        <v>52</v>
      </c>
      <c r="AK14">
        <v>1</v>
      </c>
      <c r="AL14">
        <v>1</v>
      </c>
      <c r="AM14" cm="1">
        <f t="array" ref="AM14">_xlfn.IFS(AL14=$E$25, $F$25, AL14=$E$26, $F$26, AL14=$E$27, $F$27, AL14=$E$28, $F$28, AL14=$E$29, $F$29, AL14=$E$30, $F$30, AL14=$E$31, $F$31)</f>
        <v>0.1</v>
      </c>
      <c r="AN14">
        <f>1 - ((AM14-AK14)^2) + (1 *AK14)</f>
        <v>1.19</v>
      </c>
      <c r="AO14" t="s">
        <v>77</v>
      </c>
      <c r="AP14">
        <v>0</v>
      </c>
      <c r="AQ14">
        <v>1</v>
      </c>
      <c r="AR14" cm="1">
        <f t="array" ref="AR14">_xlfn.IFS(AQ14=$E$25, $F$25, AQ14=$E$26, $F$26, AQ14=$E$27, $F$27, AQ14=$E$28, $F$28, AQ14=$E$29, $F$29, AQ14=$E$30, $F$30, AQ14=$E$31, $F$31)</f>
        <v>0.1</v>
      </c>
      <c r="AS14">
        <f>1 - ((AR14-AP14)^2) + (1 *AP14)</f>
        <v>0.99</v>
      </c>
      <c r="AT14" t="s">
        <v>78</v>
      </c>
      <c r="AU14">
        <v>0</v>
      </c>
      <c r="AV14">
        <v>1</v>
      </c>
      <c r="AW14" cm="1">
        <f t="array" ref="AW14">_xlfn.IFS(AV14=$E$25, $F$25, AV14=$E$26, $F$26, AV14=$E$27, $F$27, AV14=$E$28, $F$28, AV14=$E$29, $F$29, AV14=$E$30, $F$30, AV14=$E$31, $F$31)</f>
        <v>0.1</v>
      </c>
      <c r="AX14">
        <f>1 - ((AW14-AU14)^2) + (1 *AU14)</f>
        <v>0.99</v>
      </c>
      <c r="AY14" t="s">
        <v>140</v>
      </c>
      <c r="AZ14">
        <v>0</v>
      </c>
      <c r="BA14">
        <v>1</v>
      </c>
      <c r="BB14" cm="1">
        <f t="array" ref="BB14">_xlfn.IFS(BA14=$E$25, $F$25, BA14=$E$26, $F$26, BA14=$E$27, $F$27, BA14=$E$28, $F$28, BA14=$E$29, $F$29, BA14=$E$30, $F$30, BA14=$E$31, $F$31)</f>
        <v>0.1</v>
      </c>
      <c r="BC14">
        <f>1 - ((BB14-AZ14)^2) + (1 *AZ14)</f>
        <v>0.99</v>
      </c>
      <c r="BD14" t="s">
        <v>141</v>
      </c>
      <c r="BE14">
        <v>0</v>
      </c>
      <c r="BF14">
        <v>1</v>
      </c>
      <c r="BG14" cm="1">
        <f t="array" ref="BG14">_xlfn.IFS(BF14=$E$25, $F$25, BF14=$E$26, $F$26, BF14=$E$27, $F$27, BF14=$E$28, $F$28, BF14=$E$29, $F$29, BF14=$E$30, $F$30, BF14=$E$31, $F$31)</f>
        <v>0.1</v>
      </c>
      <c r="BH14">
        <f>1 - ((BG14-BE14)^2) + (1 *BE14)</f>
        <v>0.99</v>
      </c>
      <c r="BI14" t="s">
        <v>142</v>
      </c>
      <c r="BJ14">
        <v>0</v>
      </c>
      <c r="BK14">
        <v>1</v>
      </c>
      <c r="BL14" cm="1">
        <f t="array" ref="BL14">_xlfn.IFS(BK14=$E$25, $F$25, BK14=$E$26, $F$26, BK14=$E$27, $F$27, BK14=$E$28, $F$28, BK14=$E$29, $F$29, BK14=$E$30, $F$30, BK14=$E$31, $F$31)</f>
        <v>0.1</v>
      </c>
      <c r="BM14">
        <f>1 - ((BL14-BJ14)^2) + (1 *BJ14)</f>
        <v>0.99</v>
      </c>
      <c r="BN14" t="s">
        <v>112</v>
      </c>
      <c r="BO14">
        <v>0</v>
      </c>
      <c r="BP14">
        <v>1</v>
      </c>
      <c r="BQ14" cm="1">
        <f t="array" ref="BQ14">_xlfn.IFS(BP14=$E$25, $F$25, BP14=$E$26, $F$26, BP14=$E$27, $F$27, BP14=$E$28, $F$28, BP14=$E$29, $F$29, BP14=$E$30, $F$30, BP14=$E$31, $F$31)</f>
        <v>0.1</v>
      </c>
      <c r="BR14">
        <f>1 - ((BQ14-BO14)^2) + (1 *BO14)</f>
        <v>0.99</v>
      </c>
      <c r="BS14" t="s">
        <v>119</v>
      </c>
      <c r="BT14">
        <v>0</v>
      </c>
      <c r="BU14">
        <v>1</v>
      </c>
      <c r="BV14" cm="1">
        <f t="array" ref="BV14">_xlfn.IFS(BU14=$E$25, $F$25, BU14=$E$26, $F$26, BU14=$E$27, $F$27, BU14=$E$28, $F$28, BU14=$E$29, $F$29, BU14=$E$30, $F$30, BU14=$E$31, $F$31)</f>
        <v>0.1</v>
      </c>
      <c r="BW14">
        <f>1 - ((BV14-BT14)^2) + (1 *BT14)</f>
        <v>0.99</v>
      </c>
      <c r="BX14" t="s">
        <v>143</v>
      </c>
      <c r="BY14">
        <v>0</v>
      </c>
      <c r="BZ14">
        <v>1</v>
      </c>
      <c r="CA14" cm="1">
        <f t="array" ref="CA14">_xlfn.IFS(BZ14=$E$25, $F$25, BZ14=$E$26, $F$26, BZ14=$E$27, $F$27, BZ14=$E$28, $F$28, BZ14=$E$29, $F$29, BZ14=$E$30, $F$30, BZ14=$E$31, $F$31)</f>
        <v>0.1</v>
      </c>
      <c r="CB14">
        <f>1 - ((CA14-BY14)^2) + (1 *BY14)</f>
        <v>0.99</v>
      </c>
      <c r="CC14" t="s">
        <v>144</v>
      </c>
      <c r="CD14">
        <v>0</v>
      </c>
      <c r="CE14">
        <v>1</v>
      </c>
      <c r="CF14" cm="1">
        <f t="array" ref="CF14">_xlfn.IFS(CE14=$E$25, $F$25, CE14=$E$26, $F$26, CE14=$E$27, $F$27, CE14=$E$28, $F$28, CE14=$E$29, $F$29, CE14=$E$30, $F$30, CE14=$E$31, $F$31)</f>
        <v>0.1</v>
      </c>
      <c r="CG14">
        <f>1 - ((CF14-CD14)^2) + (1 *CD14)</f>
        <v>0.99</v>
      </c>
      <c r="CH14">
        <v>1980</v>
      </c>
      <c r="CI14">
        <v>1</v>
      </c>
      <c r="CJ14">
        <v>1</v>
      </c>
      <c r="CK14" cm="1">
        <f t="array" ref="CK14">_xlfn.IFS(CJ14=$E$25, $F$25, CJ14=$E$26, $F$26, CJ14=$E$27, $F$27, CJ14=$E$28, $F$28, CJ14=$E$29, $F$29, CJ14=$E$30, $F$30, CJ14=$E$31, $F$31)</f>
        <v>0.1</v>
      </c>
      <c r="CL14">
        <f>1 - ((CK14-CI14)^2) + (1 *CI14)</f>
        <v>1.19</v>
      </c>
      <c r="CM14" t="s">
        <v>62</v>
      </c>
      <c r="CN14">
        <v>0</v>
      </c>
      <c r="CO14">
        <v>1</v>
      </c>
      <c r="CP14" cm="1">
        <f t="array" ref="CP14">_xlfn.IFS(CO14=$E$25, $F$25, CO14=$E$26, $F$26, CO14=$E$27, $F$27, CO14=$E$28, $F$28, CO14=$E$29, $F$29, CO14=$E$30, $F$30, CO14=$E$31, $F$31)</f>
        <v>0.1</v>
      </c>
      <c r="CQ14">
        <f>1 - ((CP14-CN14)^2) + (1 *CN14)</f>
        <v>0.99</v>
      </c>
      <c r="CR14">
        <v>5</v>
      </c>
      <c r="CS14">
        <v>0</v>
      </c>
      <c r="CT14">
        <v>1</v>
      </c>
      <c r="CU14" cm="1">
        <f t="array" ref="CU14">_xlfn.IFS(CT14=$E$25, $F$25, CT14=$E$26, $F$26, CT14=$E$27, $F$27, CT14=$E$28, $F$28, CT14=$E$29, $F$29, CT14=$E$30, $F$30, CT14=$E$31, $F$31)</f>
        <v>0.1</v>
      </c>
      <c r="CV14">
        <f>1 - ((CU14-CS14)^2) + (1 *CS14)</f>
        <v>0.99</v>
      </c>
      <c r="CW14" t="s">
        <v>145</v>
      </c>
      <c r="CX14">
        <v>0</v>
      </c>
      <c r="CY14">
        <v>1</v>
      </c>
      <c r="CZ14" cm="1">
        <f t="array" ref="CZ14">_xlfn.IFS(CY14=$E$25, $F$25, CY14=$E$26, $F$26, CY14=$E$27, $F$27, CY14=$E$28, $F$28, CY14=$E$29, $F$29, CY14=$E$30, $F$30, CY14=$E$31, $F$31)</f>
        <v>0.1</v>
      </c>
      <c r="DA14">
        <f>1 - ((CZ14-CX14)^2) + (1 *CX14)</f>
        <v>0.99</v>
      </c>
    </row>
    <row r="15" spans="1:105">
      <c r="A15" s="3">
        <v>45994.587152777778</v>
      </c>
      <c r="B15">
        <v>14</v>
      </c>
      <c r="C15" s="2">
        <f>ROUND(SUMIF($F$1:$CS$1, "Weighted Score", $F15:$CS15),2)</f>
        <v>26.82</v>
      </c>
      <c r="D15" t="s">
        <v>146</v>
      </c>
      <c r="E15" t="s">
        <v>147</v>
      </c>
      <c r="F15" t="s">
        <v>85</v>
      </c>
      <c r="G15">
        <v>1</v>
      </c>
      <c r="H15">
        <v>7</v>
      </c>
      <c r="I15" cm="1">
        <f t="array" ref="I15">_xlfn.IFS(H15=$E$25, $F$25, H15=$E$26, $F$26, H15=$E$27, $F$27, H15=$E$28, $F$28, H15=$E$29, $F$29, H15=$E$30, $F$30, H15=$E$31, $F$31)</f>
        <v>0.9</v>
      </c>
      <c r="J15">
        <f>1 - ((I15-G15)^2) + (1 *G15)</f>
        <v>1.99</v>
      </c>
      <c r="K15" t="s">
        <v>51</v>
      </c>
      <c r="L15">
        <v>1</v>
      </c>
      <c r="M15">
        <v>7</v>
      </c>
      <c r="N15" cm="1">
        <f t="array" ref="N15">_xlfn.IFS(M15=$E$25, $F$25, M15=$E$26, $F$26, M15=$E$27, $F$27, M15=$E$28, $F$28, M15=$E$29, $F$29, M15=$E$30, $F$30, M15=$E$31, $F$31)</f>
        <v>0.9</v>
      </c>
      <c r="O15">
        <f>1 - ((N15-L15)^2) + (1 *L15)</f>
        <v>1.99</v>
      </c>
      <c r="P15">
        <v>1980</v>
      </c>
      <c r="Q15">
        <v>0</v>
      </c>
      <c r="R15">
        <v>7</v>
      </c>
      <c r="S15" cm="1">
        <f t="array" ref="S15">_xlfn.IFS(R15=$E$25, $F$25, R15=$E$26, $F$26, R15=$E$27, $F$27, R15=$E$28, $F$28, R15=$E$29, $F$29, R15=$E$30, $F$30, R15=$E$31, $F$31)</f>
        <v>0.9</v>
      </c>
      <c r="T15">
        <f>1 - ((S15-Q15)^2) + (1 *Q15)</f>
        <v>0.18999999999999995</v>
      </c>
      <c r="U15">
        <v>18</v>
      </c>
      <c r="V15">
        <v>1</v>
      </c>
      <c r="W15">
        <v>7</v>
      </c>
      <c r="X15" cm="1">
        <f t="array" ref="X15">_xlfn.IFS(W15=$E$25, $F$25, W15=$E$26, $F$26, W15=$E$27, $F$27, W15=$E$28, $F$28, W15=$E$29, $F$29, W15=$E$30, $F$30, W15=$E$31, $F$31)</f>
        <v>0.9</v>
      </c>
      <c r="Y15">
        <f>1 - ((X15-V15)^2) + (1 *V15)</f>
        <v>1.99</v>
      </c>
      <c r="Z15">
        <v>5</v>
      </c>
      <c r="AA15">
        <v>1</v>
      </c>
      <c r="AB15">
        <v>7</v>
      </c>
      <c r="AC15" cm="1">
        <f t="array" ref="AC15">_xlfn.IFS(AB15=$E$25, $F$25, AB15=$E$26, $F$26, AB15=$E$27, $F$27, AB15=$E$28, $F$28, AB15=$E$29, $F$29, AB15=$E$30, $F$30, AB15=$E$31, $F$31)</f>
        <v>0.9</v>
      </c>
      <c r="AD15">
        <f>1 - ((AC15-AA15)^2) + (1 *AA15)</f>
        <v>1.99</v>
      </c>
      <c r="AE15" s="1">
        <v>0.15</v>
      </c>
      <c r="AF15">
        <v>0</v>
      </c>
      <c r="AG15">
        <v>7</v>
      </c>
      <c r="AH15" cm="1">
        <f t="array" ref="AH15">_xlfn.IFS(AG15=$E$25, $F$25, AG15=$E$26, $F$26, AG15=$E$27, $F$27, AG15=$E$28, $F$28, AG15=$E$29, $F$29, AG15=$E$30, $F$30, AG15=$E$31, $F$31)</f>
        <v>0.9</v>
      </c>
      <c r="AI15">
        <f>1 - ((AH15-AF15)^2) + (1 *AF15)</f>
        <v>0.18999999999999995</v>
      </c>
      <c r="AJ15" t="s">
        <v>52</v>
      </c>
      <c r="AK15">
        <v>1</v>
      </c>
      <c r="AL15">
        <v>7</v>
      </c>
      <c r="AM15" cm="1">
        <f t="array" ref="AM15">_xlfn.IFS(AL15=$E$25, $F$25, AL15=$E$26, $F$26, AL15=$E$27, $F$27, AL15=$E$28, $F$28, AL15=$E$29, $F$29, AL15=$E$30, $F$30, AL15=$E$31, $F$31)</f>
        <v>0.9</v>
      </c>
      <c r="AN15">
        <f>1 - ((AM15-AK15)^2) + (1 *AK15)</f>
        <v>1.99</v>
      </c>
      <c r="AO15" t="s">
        <v>53</v>
      </c>
      <c r="AP15">
        <v>1</v>
      </c>
      <c r="AQ15">
        <v>7</v>
      </c>
      <c r="AR15" cm="1">
        <f t="array" ref="AR15">_xlfn.IFS(AQ15=$E$25, $F$25, AQ15=$E$26, $F$26, AQ15=$E$27, $F$27, AQ15=$E$28, $F$28, AQ15=$E$29, $F$29, AQ15=$E$30, $F$30, AQ15=$E$31, $F$31)</f>
        <v>0.9</v>
      </c>
      <c r="AS15">
        <f>1 - ((AR15-AP15)^2) + (1 *AP15)</f>
        <v>1.99</v>
      </c>
      <c r="AT15" t="s">
        <v>54</v>
      </c>
      <c r="AU15">
        <v>1</v>
      </c>
      <c r="AV15">
        <v>7</v>
      </c>
      <c r="AW15" cm="1">
        <f t="array" ref="AW15">_xlfn.IFS(AV15=$E$25, $F$25, AV15=$E$26, $F$26, AV15=$E$27, $F$27, AV15=$E$28, $F$28, AV15=$E$29, $F$29, AV15=$E$30, $F$30, AV15=$E$31, $F$31)</f>
        <v>0.9</v>
      </c>
      <c r="AX15">
        <f>1 - ((AW15-AU15)^2) + (1 *AU15)</f>
        <v>1.99</v>
      </c>
      <c r="AY15" t="s">
        <v>68</v>
      </c>
      <c r="AZ15">
        <v>1</v>
      </c>
      <c r="BA15">
        <v>7</v>
      </c>
      <c r="BB15" cm="1">
        <f t="array" ref="BB15">_xlfn.IFS(BA15=$E$25, $F$25, BA15=$E$26, $F$26, BA15=$E$27, $F$27, BA15=$E$28, $F$28, BA15=$E$29, $F$29, BA15=$E$30, $F$30, BA15=$E$31, $F$31)</f>
        <v>0.9</v>
      </c>
      <c r="BC15">
        <f>1 - ((BB15-AZ15)^2) + (1 *AZ15)</f>
        <v>1.99</v>
      </c>
      <c r="BD15">
        <v>1600</v>
      </c>
      <c r="BE15">
        <v>0</v>
      </c>
      <c r="BF15">
        <v>1</v>
      </c>
      <c r="BG15" cm="1">
        <f t="array" ref="BG15">_xlfn.IFS(BF15=$E$25, $F$25, BF15=$E$26, $F$26, BF15=$E$27, $F$27, BF15=$E$28, $F$28, BF15=$E$29, $F$29, BF15=$E$30, $F$30, BF15=$E$31, $F$31)</f>
        <v>0.1</v>
      </c>
      <c r="BH15">
        <f>1 - ((BG15-BE15)^2) + (1 *BE15)</f>
        <v>0.99</v>
      </c>
      <c r="BI15" t="s">
        <v>148</v>
      </c>
      <c r="BJ15">
        <v>1</v>
      </c>
      <c r="BK15">
        <v>1</v>
      </c>
      <c r="BL15" cm="1">
        <f t="array" ref="BL15">_xlfn.IFS(BK15=$E$25, $F$25, BK15=$E$26, $F$26, BK15=$E$27, $F$27, BK15=$E$28, $F$28, BK15=$E$29, $F$29, BK15=$E$30, $F$30, BK15=$E$31, $F$31)</f>
        <v>0.1</v>
      </c>
      <c r="BM15">
        <f>1 - ((BL15-BJ15)^2) + (1 *BJ15)</f>
        <v>1.19</v>
      </c>
      <c r="BN15" t="s">
        <v>88</v>
      </c>
      <c r="BO15">
        <v>1</v>
      </c>
      <c r="BP15">
        <v>7</v>
      </c>
      <c r="BQ15" cm="1">
        <f t="array" ref="BQ15">_xlfn.IFS(BP15=$E$25, $F$25, BP15=$E$26, $F$26, BP15=$E$27, $F$27, BP15=$E$28, $F$28, BP15=$E$29, $F$29, BP15=$E$30, $F$30, BP15=$E$31, $F$31)</f>
        <v>0.9</v>
      </c>
      <c r="BR15">
        <f>1 - ((BQ15-BO15)^2) + (1 *BO15)</f>
        <v>1.99</v>
      </c>
      <c r="BS15" t="s">
        <v>81</v>
      </c>
      <c r="BT15">
        <v>0</v>
      </c>
      <c r="BU15">
        <v>7</v>
      </c>
      <c r="BV15" cm="1">
        <f t="array" ref="BV15">_xlfn.IFS(BU15=$E$25, $F$25, BU15=$E$26, $F$26, BU15=$E$27, $F$27, BU15=$E$28, $F$28, BU15=$E$29, $F$29, BU15=$E$30, $F$30, BU15=$E$31, $F$31)</f>
        <v>0.9</v>
      </c>
      <c r="BW15">
        <f>1 - ((BV15-BT15)^2) + (1 *BT15)</f>
        <v>0.18999999999999995</v>
      </c>
      <c r="BX15" t="s">
        <v>105</v>
      </c>
      <c r="BY15">
        <v>0</v>
      </c>
      <c r="BZ15">
        <v>7</v>
      </c>
      <c r="CA15" cm="1">
        <f t="array" ref="CA15">_xlfn.IFS(BZ15=$E$25, $F$25, BZ15=$E$26, $F$26, BZ15=$E$27, $F$27, BZ15=$E$28, $F$28, BZ15=$E$29, $F$29, BZ15=$E$30, $F$30, BZ15=$E$31, $F$31)</f>
        <v>0.9</v>
      </c>
      <c r="CB15">
        <f>1 - ((CA15-BY15)^2) + (1 *BY15)</f>
        <v>0.18999999999999995</v>
      </c>
      <c r="CC15" t="s">
        <v>61</v>
      </c>
      <c r="CD15">
        <v>1</v>
      </c>
      <c r="CE15">
        <v>7</v>
      </c>
      <c r="CF15" cm="1">
        <f t="array" ref="CF15">_xlfn.IFS(CE15=$E$25, $F$25, CE15=$E$26, $F$26, CE15=$E$27, $F$27, CE15=$E$28, $F$28, CE15=$E$29, $F$29, CE15=$E$30, $F$30, CE15=$E$31, $F$31)</f>
        <v>0.9</v>
      </c>
      <c r="CG15">
        <f>1 - ((CF15-CD15)^2) + (1 *CD15)</f>
        <v>1.99</v>
      </c>
      <c r="CH15">
        <v>1980</v>
      </c>
      <c r="CI15">
        <v>1</v>
      </c>
      <c r="CJ15">
        <v>7</v>
      </c>
      <c r="CK15" cm="1">
        <f t="array" ref="CK15">_xlfn.IFS(CJ15=$E$25, $F$25, CJ15=$E$26, $F$26, CJ15=$E$27, $F$27, CJ15=$E$28, $F$28, CJ15=$E$29, $F$29, CJ15=$E$30, $F$30, CJ15=$E$31, $F$31)</f>
        <v>0.9</v>
      </c>
      <c r="CL15">
        <f>1 - ((CK15-CI15)^2) + (1 *CI15)</f>
        <v>1.99</v>
      </c>
      <c r="CM15" t="s">
        <v>134</v>
      </c>
      <c r="CN15">
        <v>1</v>
      </c>
      <c r="CO15">
        <v>7</v>
      </c>
      <c r="CP15" cm="1">
        <f t="array" ref="CP15">_xlfn.IFS(CO15=$E$25, $F$25, CO15=$E$26, $F$26, CO15=$E$27, $F$27, CO15=$E$28, $F$28, CO15=$E$29, $F$29, CO15=$E$30, $F$30, CO15=$E$31, $F$31)</f>
        <v>0.9</v>
      </c>
      <c r="CQ15">
        <f>1 - ((CP15-CN15)^2) + (1 *CN15)</f>
        <v>1.99</v>
      </c>
      <c r="CR15">
        <v>16</v>
      </c>
      <c r="CS15">
        <v>0</v>
      </c>
      <c r="CT15">
        <v>7</v>
      </c>
      <c r="CU15" cm="1">
        <f t="array" ref="CU15">_xlfn.IFS(CT15=$E$25, $F$25, CT15=$E$26, $F$26, CT15=$E$27, $F$27, CT15=$E$28, $F$28, CT15=$E$29, $F$29, CT15=$E$30, $F$30, CT15=$E$31, $F$31)</f>
        <v>0.9</v>
      </c>
      <c r="CV15">
        <f>1 - ((CU15-CS15)^2) + (1 *CS15)</f>
        <v>0.18999999999999995</v>
      </c>
      <c r="CW15" t="s">
        <v>149</v>
      </c>
      <c r="CX15">
        <v>1</v>
      </c>
      <c r="CY15">
        <v>7</v>
      </c>
      <c r="CZ15" cm="1">
        <f t="array" ref="CZ15">_xlfn.IFS(CY15=$E$25, $F$25, CY15=$E$26, $F$26, CY15=$E$27, $F$27, CY15=$E$28, $F$28, CY15=$E$29, $F$29, CY15=$E$30, $F$30, CY15=$E$31, $F$31)</f>
        <v>0.9</v>
      </c>
      <c r="DA15">
        <f>1 - ((CZ15-CX15)^2) + (1 *CX15)</f>
        <v>1.99</v>
      </c>
    </row>
    <row r="16" spans="1:105">
      <c r="A16" s="3">
        <v>45994.630254629628</v>
      </c>
      <c r="B16">
        <v>9</v>
      </c>
      <c r="C16" s="2">
        <f>ROUND(SUMIF($F$1:$CS$1, "Weighted Score", $F16:$CS16),2)</f>
        <v>22.66</v>
      </c>
      <c r="D16" t="s">
        <v>150</v>
      </c>
      <c r="E16" t="s">
        <v>151</v>
      </c>
      <c r="F16" t="s">
        <v>103</v>
      </c>
      <c r="G16">
        <v>0</v>
      </c>
      <c r="H16">
        <v>7</v>
      </c>
      <c r="I16" cm="1">
        <f t="array" ref="I16">_xlfn.IFS(H16=$E$25, $F$25, H16=$E$26, $F$26, H16=$E$27, $F$27, H16=$E$28, $F$28, H16=$E$29, $F$29, H16=$E$30, $F$30, H16=$E$31, $F$31)</f>
        <v>0.9</v>
      </c>
      <c r="J16">
        <f>1 - ((I16-G16)^2) + (1 *G16)</f>
        <v>0.18999999999999995</v>
      </c>
      <c r="K16" t="s">
        <v>51</v>
      </c>
      <c r="L16">
        <v>1</v>
      </c>
      <c r="M16">
        <v>5</v>
      </c>
      <c r="N16" cm="1">
        <f t="array" ref="N16">_xlfn.IFS(M16=$E$25, $F$25, M16=$E$26, $F$26, M16=$E$27, $F$27, M16=$E$28, $F$28, M16=$E$29, $F$29, M16=$E$30, $F$30, M16=$E$31, $F$31)</f>
        <v>0.6</v>
      </c>
      <c r="O16">
        <f>1 - ((N16-L16)^2) + (1 *L16)</f>
        <v>1.8399999999999999</v>
      </c>
      <c r="P16">
        <v>1998</v>
      </c>
      <c r="Q16">
        <v>1</v>
      </c>
      <c r="R16">
        <v>7</v>
      </c>
      <c r="S16" cm="1">
        <f t="array" ref="S16">_xlfn.IFS(R16=$E$25, $F$25, R16=$E$26, $F$26, R16=$E$27, $F$27, R16=$E$28, $F$28, R16=$E$29, $F$29, R16=$E$30, $F$30, R16=$E$31, $F$31)</f>
        <v>0.9</v>
      </c>
      <c r="T16">
        <f>1 - ((S16-Q16)^2) + (1 *Q16)</f>
        <v>1.99</v>
      </c>
      <c r="U16">
        <v>18</v>
      </c>
      <c r="V16">
        <v>1</v>
      </c>
      <c r="W16">
        <v>7</v>
      </c>
      <c r="X16" cm="1">
        <f t="array" ref="X16">_xlfn.IFS(W16=$E$25, $F$25, W16=$E$26, $F$26, W16=$E$27, $F$27, W16=$E$28, $F$28, W16=$E$29, $F$29, W16=$E$30, $F$30, W16=$E$31, $F$31)</f>
        <v>0.9</v>
      </c>
      <c r="Y16">
        <f>1 - ((X16-V16)^2) + (1 *V16)</f>
        <v>1.99</v>
      </c>
      <c r="Z16">
        <v>5</v>
      </c>
      <c r="AA16">
        <v>1</v>
      </c>
      <c r="AB16">
        <v>7</v>
      </c>
      <c r="AC16" cm="1">
        <f t="array" ref="AC16">_xlfn.IFS(AB16=$E$25, $F$25, AB16=$E$26, $F$26, AB16=$E$27, $F$27, AB16=$E$28, $F$28, AB16=$E$29, $F$29, AB16=$E$30, $F$30, AB16=$E$31, $F$31)</f>
        <v>0.9</v>
      </c>
      <c r="AD16">
        <f>1 - ((AC16-AA16)^2) + (1 *AA16)</f>
        <v>1.99</v>
      </c>
      <c r="AE16" s="1">
        <v>0.2</v>
      </c>
      <c r="AF16">
        <v>1</v>
      </c>
      <c r="AG16">
        <v>5</v>
      </c>
      <c r="AH16" cm="1">
        <f t="array" ref="AH16">_xlfn.IFS(AG16=$E$25, $F$25, AG16=$E$26, $F$26, AG16=$E$27, $F$27, AG16=$E$28, $F$28, AG16=$E$29, $F$29, AG16=$E$30, $F$30, AG16=$E$31, $F$31)</f>
        <v>0.6</v>
      </c>
      <c r="AI16">
        <f>1 - ((AH16-AF16)^2) + (1 *AF16)</f>
        <v>1.8399999999999999</v>
      </c>
      <c r="AJ16" t="s">
        <v>152</v>
      </c>
      <c r="AK16">
        <v>0</v>
      </c>
      <c r="AL16">
        <v>1</v>
      </c>
      <c r="AM16" cm="1">
        <f t="array" ref="AM16">_xlfn.IFS(AL16=$E$25, $F$25, AL16=$E$26, $F$26, AL16=$E$27, $F$27, AL16=$E$28, $F$28, AL16=$E$29, $F$29, AL16=$E$30, $F$30, AL16=$E$31, $F$31)</f>
        <v>0.1</v>
      </c>
      <c r="AN16">
        <f>1 - ((AM16-AK16)^2) + (1 *AK16)</f>
        <v>0.99</v>
      </c>
      <c r="AO16" t="s">
        <v>77</v>
      </c>
      <c r="AP16">
        <v>0</v>
      </c>
      <c r="AQ16">
        <v>5</v>
      </c>
      <c r="AR16" cm="1">
        <f t="array" ref="AR16">_xlfn.IFS(AQ16=$E$25, $F$25, AQ16=$E$26, $F$26, AQ16=$E$27, $F$27, AQ16=$E$28, $F$28, AQ16=$E$29, $F$29, AQ16=$E$30, $F$30, AQ16=$E$31, $F$31)</f>
        <v>0.6</v>
      </c>
      <c r="AS16">
        <f>1 - ((AR16-AP16)^2) + (1 *AP16)</f>
        <v>0.64</v>
      </c>
      <c r="AT16" t="s">
        <v>54</v>
      </c>
      <c r="AU16">
        <v>1</v>
      </c>
      <c r="AV16">
        <v>7</v>
      </c>
      <c r="AW16" cm="1">
        <f t="array" ref="AW16">_xlfn.IFS(AV16=$E$25, $F$25, AV16=$E$26, $F$26, AV16=$E$27, $F$27, AV16=$E$28, $F$28, AV16=$E$29, $F$29, AV16=$E$30, $F$30, AV16=$E$31, $F$31)</f>
        <v>0.9</v>
      </c>
      <c r="AX16">
        <f>1 - ((AW16-AU16)^2) + (1 *AU16)</f>
        <v>1.99</v>
      </c>
      <c r="AY16" t="s">
        <v>140</v>
      </c>
      <c r="AZ16">
        <v>0</v>
      </c>
      <c r="BA16">
        <v>5</v>
      </c>
      <c r="BB16" cm="1">
        <f t="array" ref="BB16">_xlfn.IFS(BA16=$E$25, $F$25, BA16=$E$26, $F$26, BA16=$E$27, $F$27, BA16=$E$28, $F$28, BA16=$E$29, $F$29, BA16=$E$30, $F$30, BA16=$E$31, $F$31)</f>
        <v>0.6</v>
      </c>
      <c r="BC16">
        <f>1 - ((BB16-AZ16)^2) + (1 *AZ16)</f>
        <v>0.64</v>
      </c>
      <c r="BD16">
        <v>1880</v>
      </c>
      <c r="BE16">
        <v>0</v>
      </c>
      <c r="BF16">
        <v>3</v>
      </c>
      <c r="BG16" cm="1">
        <f t="array" ref="BG16">_xlfn.IFS(BF16=$E$25, $F$25, BF16=$E$26, $F$26, BF16=$E$27, $F$27, BF16=$E$28, $F$28, BF16=$E$29, $F$29, BF16=$E$30, $F$30, BF16=$E$31, $F$31)</f>
        <v>0.4</v>
      </c>
      <c r="BH16">
        <f>1 - ((BG16-BE16)^2) + (1 *BE16)</f>
        <v>0.84</v>
      </c>
      <c r="BI16" t="s">
        <v>153</v>
      </c>
      <c r="BJ16">
        <v>0</v>
      </c>
      <c r="BK16">
        <v>5</v>
      </c>
      <c r="BL16" cm="1">
        <f t="array" ref="BL16">_xlfn.IFS(BK16=$E$25, $F$25, BK16=$E$26, $F$26, BK16=$E$27, $F$27, BK16=$E$28, $F$28, BK16=$E$29, $F$29, BK16=$E$30, $F$30, BK16=$E$31, $F$31)</f>
        <v>0.6</v>
      </c>
      <c r="BM16">
        <f>1 - ((BL16-BJ16)^2) + (1 *BJ16)</f>
        <v>0.64</v>
      </c>
      <c r="BN16" t="s">
        <v>112</v>
      </c>
      <c r="BO16">
        <v>0</v>
      </c>
      <c r="BP16">
        <v>2</v>
      </c>
      <c r="BQ16" cm="1">
        <f t="array" ref="BQ16">_xlfn.IFS(BP16=$E$25, $F$25, BP16=$E$26, $F$26, BP16=$E$27, $F$27, BP16=$E$28, $F$28, BP16=$E$29, $F$29, BP16=$E$30, $F$30, BP16=$E$31, $F$31)</f>
        <v>0.25</v>
      </c>
      <c r="BR16">
        <f>1 - ((BQ16-BO16)^2) + (1 *BO16)</f>
        <v>0.9375</v>
      </c>
      <c r="BS16" t="s">
        <v>81</v>
      </c>
      <c r="BT16">
        <v>0</v>
      </c>
      <c r="BU16">
        <v>2</v>
      </c>
      <c r="BV16" cm="1">
        <f t="array" ref="BV16">_xlfn.IFS(BU16=$E$25, $F$25, BU16=$E$26, $F$26, BU16=$E$27, $F$27, BU16=$E$28, $F$28, BU16=$E$29, $F$29, BU16=$E$30, $F$30, BU16=$E$31, $F$31)</f>
        <v>0.25</v>
      </c>
      <c r="BW16">
        <f>1 - ((BV16-BT16)^2) + (1 *BT16)</f>
        <v>0.9375</v>
      </c>
      <c r="BX16" t="s">
        <v>60</v>
      </c>
      <c r="BY16">
        <v>1</v>
      </c>
      <c r="BZ16">
        <v>3</v>
      </c>
      <c r="CA16" cm="1">
        <f t="array" ref="CA16">_xlfn.IFS(BZ16=$E$25, $F$25, BZ16=$E$26, $F$26, BZ16=$E$27, $F$27, BZ16=$E$28, $F$28, BZ16=$E$29, $F$29, BZ16=$E$30, $F$30, BZ16=$E$31, $F$31)</f>
        <v>0.4</v>
      </c>
      <c r="CB16">
        <f>1 - ((CA16-BY16)^2) + (1 *BY16)</f>
        <v>1.6400000000000001</v>
      </c>
      <c r="CC16" t="s">
        <v>61</v>
      </c>
      <c r="CD16">
        <v>1</v>
      </c>
      <c r="CE16">
        <v>7</v>
      </c>
      <c r="CF16" cm="1">
        <f t="array" ref="CF16">_xlfn.IFS(CE16=$E$25, $F$25, CE16=$E$26, $F$26, CE16=$E$27, $F$27, CE16=$E$28, $F$28, CE16=$E$29, $F$29, CE16=$E$30, $F$30, CE16=$E$31, $F$31)</f>
        <v>0.9</v>
      </c>
      <c r="CG16">
        <f>1 - ((CF16-CD16)^2) + (1 *CD16)</f>
        <v>1.99</v>
      </c>
      <c r="CH16">
        <v>1997</v>
      </c>
      <c r="CI16">
        <v>0</v>
      </c>
      <c r="CJ16">
        <v>5</v>
      </c>
      <c r="CK16" cm="1">
        <f t="array" ref="CK16">_xlfn.IFS(CJ16=$E$25, $F$25, CJ16=$E$26, $F$26, CJ16=$E$27, $F$27, CJ16=$E$28, $F$28, CJ16=$E$29, $F$29, CJ16=$E$30, $F$30, CJ16=$E$31, $F$31)</f>
        <v>0.6</v>
      </c>
      <c r="CL16">
        <f>1 - ((CK16-CI16)^2) + (1 *CI16)</f>
        <v>0.64</v>
      </c>
      <c r="CM16" t="s">
        <v>62</v>
      </c>
      <c r="CN16">
        <v>0</v>
      </c>
      <c r="CO16">
        <v>2</v>
      </c>
      <c r="CP16" cm="1">
        <f t="array" ref="CP16">_xlfn.IFS(CO16=$E$25, $F$25, CO16=$E$26, $F$26, CO16=$E$27, $F$27, CO16=$E$28, $F$28, CO16=$E$29, $F$29, CO16=$E$30, $F$30, CO16=$E$31, $F$31)</f>
        <v>0.25</v>
      </c>
      <c r="CQ16">
        <f>1 - ((CP16-CN16)^2) + (1 *CN16)</f>
        <v>0.9375</v>
      </c>
      <c r="CR16">
        <v>47</v>
      </c>
      <c r="CS16">
        <v>0</v>
      </c>
      <c r="CT16">
        <v>1</v>
      </c>
      <c r="CU16" cm="1">
        <f t="array" ref="CU16">_xlfn.IFS(CT16=$E$25, $F$25, CT16=$E$26, $F$26, CT16=$E$27, $F$27, CT16=$E$28, $F$28, CT16=$E$29, $F$29, CT16=$E$30, $F$30, CT16=$E$31, $F$31)</f>
        <v>0.1</v>
      </c>
      <c r="CV16">
        <f>1 - ((CU16-CS16)^2) + (1 *CS16)</f>
        <v>0.99</v>
      </c>
      <c r="CW16" t="s">
        <v>154</v>
      </c>
      <c r="CX16">
        <v>1</v>
      </c>
      <c r="CY16">
        <v>4</v>
      </c>
      <c r="CZ16" cm="1">
        <f t="array" ref="CZ16">_xlfn.IFS(CY16=$E$25, $F$25, CY16=$E$26, $F$26, CY16=$E$27, $F$27, CY16=$E$28, $F$28, CY16=$E$29, $F$29, CY16=$E$30, $F$30, CY16=$E$31, $F$31)</f>
        <v>0.5</v>
      </c>
      <c r="DA16">
        <f>1 - ((CZ16-CX16)^2) + (1 *CX16)</f>
        <v>1.75</v>
      </c>
    </row>
    <row r="17" spans="1:105">
      <c r="A17" s="3">
        <v>45994.677094907405</v>
      </c>
      <c r="B17">
        <v>9</v>
      </c>
      <c r="C17" s="2">
        <f>ROUND(SUMIF($F$1:$CS$1, "Weighted Score", $F17:$CS17),2)</f>
        <v>23.5</v>
      </c>
      <c r="D17" t="s">
        <v>155</v>
      </c>
      <c r="E17" t="s">
        <v>156</v>
      </c>
      <c r="F17" t="s">
        <v>85</v>
      </c>
      <c r="G17">
        <v>1</v>
      </c>
      <c r="H17">
        <v>3</v>
      </c>
      <c r="I17" cm="1">
        <f t="array" ref="I17">_xlfn.IFS(H17=$E$25, $F$25, H17=$E$26, $F$26, H17=$E$27, $F$27, H17=$E$28, $F$28, H17=$E$29, $F$29, H17=$E$30, $F$30, H17=$E$31, $F$31)</f>
        <v>0.4</v>
      </c>
      <c r="J17">
        <f>1 - ((I17-G17)^2) + (1 *G17)</f>
        <v>1.6400000000000001</v>
      </c>
      <c r="K17" t="s">
        <v>51</v>
      </c>
      <c r="L17">
        <v>1</v>
      </c>
      <c r="M17">
        <v>4</v>
      </c>
      <c r="N17" cm="1">
        <f t="array" ref="N17">_xlfn.IFS(M17=$E$25, $F$25, M17=$E$26, $F$26, M17=$E$27, $F$27, M17=$E$28, $F$28, M17=$E$29, $F$29, M17=$E$30, $F$30, M17=$E$31, $F$31)</f>
        <v>0.5</v>
      </c>
      <c r="O17">
        <f>1 - ((N17-L17)^2) + (1 *L17)</f>
        <v>1.75</v>
      </c>
      <c r="P17" t="s">
        <v>131</v>
      </c>
      <c r="Q17">
        <v>0</v>
      </c>
      <c r="R17">
        <v>5</v>
      </c>
      <c r="S17" cm="1">
        <f t="array" ref="S17">_xlfn.IFS(R17=$E$25, $F$25, R17=$E$26, $F$26, R17=$E$27, $F$27, R17=$E$28, $F$28, R17=$E$29, $F$29, R17=$E$30, $F$30, R17=$E$31, $F$31)</f>
        <v>0.6</v>
      </c>
      <c r="T17">
        <f>1 - ((S17-Q17)^2) + (1 *Q17)</f>
        <v>0.64</v>
      </c>
      <c r="U17">
        <v>18</v>
      </c>
      <c r="V17">
        <v>1</v>
      </c>
      <c r="W17">
        <v>5</v>
      </c>
      <c r="X17" cm="1">
        <f t="array" ref="X17">_xlfn.IFS(W17=$E$25, $F$25, W17=$E$26, $F$26, W17=$E$27, $F$27, W17=$E$28, $F$28, W17=$E$29, $F$29, W17=$E$30, $F$30, W17=$E$31, $F$31)</f>
        <v>0.6</v>
      </c>
      <c r="Y17">
        <f>1 - ((X17-V17)^2) + (1 *V17)</f>
        <v>1.8399999999999999</v>
      </c>
      <c r="Z17" s="1">
        <v>0.05</v>
      </c>
      <c r="AA17">
        <v>1</v>
      </c>
      <c r="AB17">
        <v>6</v>
      </c>
      <c r="AC17" cm="1">
        <f t="array" ref="AC17">_xlfn.IFS(AB17=$E$25, $F$25, AB17=$E$26, $F$26, AB17=$E$27, $F$27, AB17=$E$28, $F$28, AB17=$E$29, $F$29, AB17=$E$30, $F$30, AB17=$E$31, $F$31)</f>
        <v>0.75</v>
      </c>
      <c r="AD17">
        <f>1 - ((AC17-AA17)^2) + (1 *AA17)</f>
        <v>1.9375</v>
      </c>
      <c r="AE17" s="1">
        <v>0.25</v>
      </c>
      <c r="AF17">
        <v>0</v>
      </c>
      <c r="AG17">
        <v>3</v>
      </c>
      <c r="AH17" cm="1">
        <f t="array" ref="AH17">_xlfn.IFS(AG17=$E$25, $F$25, AG17=$E$26, $F$26, AG17=$E$27, $F$27, AG17=$E$28, $F$28, AG17=$E$29, $F$29, AG17=$E$30, $F$30, AG17=$E$31, $F$31)</f>
        <v>0.4</v>
      </c>
      <c r="AI17">
        <f>1 - ((AH17-AF17)^2) + (1 *AF17)</f>
        <v>0.84</v>
      </c>
      <c r="AJ17" t="s">
        <v>152</v>
      </c>
      <c r="AK17">
        <v>0</v>
      </c>
      <c r="AL17">
        <v>6</v>
      </c>
      <c r="AM17" cm="1">
        <f t="array" ref="AM17">_xlfn.IFS(AL17=$E$25, $F$25, AL17=$E$26, $F$26, AL17=$E$27, $F$27, AL17=$E$28, $F$28, AL17=$E$29, $F$29, AL17=$E$30, $F$30, AL17=$E$31, $F$31)</f>
        <v>0.75</v>
      </c>
      <c r="AN17">
        <f>1 - ((AM17-AK17)^2) + (1 *AK17)</f>
        <v>0.4375</v>
      </c>
      <c r="AO17" t="s">
        <v>77</v>
      </c>
      <c r="AP17">
        <v>0</v>
      </c>
      <c r="AQ17">
        <v>1</v>
      </c>
      <c r="AR17" cm="1">
        <f t="array" ref="AR17">_xlfn.IFS(AQ17=$E$25, $F$25, AQ17=$E$26, $F$26, AQ17=$E$27, $F$27, AQ17=$E$28, $F$28, AQ17=$E$29, $F$29, AQ17=$E$30, $F$30, AQ17=$E$31, $F$31)</f>
        <v>0.1</v>
      </c>
      <c r="AS17">
        <f>1 - ((AR17-AP17)^2) + (1 *AP17)</f>
        <v>0.99</v>
      </c>
      <c r="AT17" t="s">
        <v>54</v>
      </c>
      <c r="AU17">
        <v>1</v>
      </c>
      <c r="AV17">
        <v>3</v>
      </c>
      <c r="AW17" cm="1">
        <f t="array" ref="AW17">_xlfn.IFS(AV17=$E$25, $F$25, AV17=$E$26, $F$26, AV17=$E$27, $F$27, AV17=$E$28, $F$28, AV17=$E$29, $F$29, AV17=$E$30, $F$30, AV17=$E$31, $F$31)</f>
        <v>0.4</v>
      </c>
      <c r="AX17">
        <f>1 - ((AW17-AU17)^2) + (1 *AU17)</f>
        <v>1.6400000000000001</v>
      </c>
      <c r="AY17" t="s">
        <v>55</v>
      </c>
      <c r="AZ17">
        <v>0</v>
      </c>
      <c r="BA17">
        <v>3</v>
      </c>
      <c r="BB17" cm="1">
        <f t="array" ref="BB17">_xlfn.IFS(BA17=$E$25, $F$25, BA17=$E$26, $F$26, BA17=$E$27, $F$27, BA17=$E$28, $F$28, BA17=$E$29, $F$29, BA17=$E$30, $F$30, BA17=$E$31, $F$31)</f>
        <v>0.4</v>
      </c>
      <c r="BC17">
        <f>1 - ((BB17-AZ17)^2) + (1 *AZ17)</f>
        <v>0.84</v>
      </c>
      <c r="BD17" t="s">
        <v>157</v>
      </c>
      <c r="BE17">
        <v>0</v>
      </c>
      <c r="BF17">
        <v>1</v>
      </c>
      <c r="BG17" cm="1">
        <f t="array" ref="BG17">_xlfn.IFS(BF17=$E$25, $F$25, BF17=$E$26, $F$26, BF17=$E$27, $F$27, BF17=$E$28, $F$28, BF17=$E$29, $F$29, BF17=$E$30, $F$30, BF17=$E$31, $F$31)</f>
        <v>0.1</v>
      </c>
      <c r="BH17">
        <f>1 - ((BG17-BE17)^2) + (1 *BE17)</f>
        <v>0.99</v>
      </c>
      <c r="BI17" t="s">
        <v>158</v>
      </c>
      <c r="BJ17">
        <v>0</v>
      </c>
      <c r="BK17">
        <v>1</v>
      </c>
      <c r="BL17" cm="1">
        <f t="array" ref="BL17">_xlfn.IFS(BK17=$E$25, $F$25, BK17=$E$26, $F$26, BK17=$E$27, $F$27, BK17=$E$28, $F$28, BK17=$E$29, $F$29, BK17=$E$30, $F$30, BK17=$E$31, $F$31)</f>
        <v>0.1</v>
      </c>
      <c r="BM17">
        <f>1 - ((BL17-BJ17)^2) + (1 *BJ17)</f>
        <v>0.99</v>
      </c>
      <c r="BN17" t="s">
        <v>88</v>
      </c>
      <c r="BO17">
        <v>1</v>
      </c>
      <c r="BP17">
        <v>5</v>
      </c>
      <c r="BQ17" cm="1">
        <f t="array" ref="BQ17">_xlfn.IFS(BP17=$E$25, $F$25, BP17=$E$26, $F$26, BP17=$E$27, $F$27, BP17=$E$28, $F$28, BP17=$E$29, $F$29, BP17=$E$30, $F$30, BP17=$E$31, $F$31)</f>
        <v>0.6</v>
      </c>
      <c r="BR17">
        <f>1 - ((BQ17-BO17)^2) + (1 *BO17)</f>
        <v>1.8399999999999999</v>
      </c>
      <c r="BS17" t="s">
        <v>119</v>
      </c>
      <c r="BT17">
        <v>0</v>
      </c>
      <c r="BU17">
        <v>4</v>
      </c>
      <c r="BV17" cm="1">
        <f t="array" ref="BV17">_xlfn.IFS(BU17=$E$25, $F$25, BU17=$E$26, $F$26, BU17=$E$27, $F$27, BU17=$E$28, $F$28, BU17=$E$29, $F$29, BU17=$E$30, $F$30, BU17=$E$31, $F$31)</f>
        <v>0.5</v>
      </c>
      <c r="BW17">
        <f>1 - ((BV17-BT17)^2) + (1 *BT17)</f>
        <v>0.75</v>
      </c>
      <c r="BX17" t="s">
        <v>60</v>
      </c>
      <c r="BY17">
        <v>1</v>
      </c>
      <c r="BZ17">
        <v>7</v>
      </c>
      <c r="CA17" cm="1">
        <f t="array" ref="CA17">_xlfn.IFS(BZ17=$E$25, $F$25, BZ17=$E$26, $F$26, BZ17=$E$27, $F$27, BZ17=$E$28, $F$28, BZ17=$E$29, $F$29, BZ17=$E$30, $F$30, BZ17=$E$31, $F$31)</f>
        <v>0.9</v>
      </c>
      <c r="CB17">
        <f>1 - ((CA17-BY17)^2) + (1 *BY17)</f>
        <v>1.99</v>
      </c>
      <c r="CC17" t="s">
        <v>61</v>
      </c>
      <c r="CD17">
        <v>1</v>
      </c>
      <c r="CE17">
        <v>7</v>
      </c>
      <c r="CF17" cm="1">
        <f t="array" ref="CF17">_xlfn.IFS(CE17=$E$25, $F$25, CE17=$E$26, $F$26, CE17=$E$27, $F$27, CE17=$E$28, $F$28, CE17=$E$29, $F$29, CE17=$E$30, $F$30, CE17=$E$31, $F$31)</f>
        <v>0.9</v>
      </c>
      <c r="CG17">
        <f>1 - ((CF17-CD17)^2) + (1 *CD17)</f>
        <v>1.99</v>
      </c>
      <c r="CH17">
        <v>1980</v>
      </c>
      <c r="CI17">
        <v>1</v>
      </c>
      <c r="CJ17">
        <v>3</v>
      </c>
      <c r="CK17" cm="1">
        <f t="array" ref="CK17">_xlfn.IFS(CJ17=$E$25, $F$25, CJ17=$E$26, $F$26, CJ17=$E$27, $F$27, CJ17=$E$28, $F$28, CJ17=$E$29, $F$29, CJ17=$E$30, $F$30, CJ17=$E$31, $F$31)</f>
        <v>0.4</v>
      </c>
      <c r="CL17">
        <f>1 - ((CK17-CI17)^2) + (1 *CI17)</f>
        <v>1.6400000000000001</v>
      </c>
      <c r="CM17" t="s">
        <v>159</v>
      </c>
      <c r="CN17">
        <v>0</v>
      </c>
      <c r="CO17">
        <v>4</v>
      </c>
      <c r="CP17" cm="1">
        <f t="array" ref="CP17">_xlfn.IFS(CO17=$E$25, $F$25, CO17=$E$26, $F$26, CO17=$E$27, $F$27, CO17=$E$28, $F$28, CO17=$E$29, $F$29, CO17=$E$30, $F$30, CO17=$E$31, $F$31)</f>
        <v>0.5</v>
      </c>
      <c r="CQ17">
        <f>1 - ((CP17-CN17)^2) + (1 *CN17)</f>
        <v>0.75</v>
      </c>
      <c r="CR17" t="s">
        <v>160</v>
      </c>
      <c r="CS17">
        <v>0</v>
      </c>
      <c r="CT17">
        <v>1</v>
      </c>
      <c r="CU17" cm="1">
        <f t="array" ref="CU17">_xlfn.IFS(CT17=$E$25, $F$25, CT17=$E$26, $F$26, CT17=$E$27, $F$27, CT17=$E$28, $F$28, CT17=$E$29, $F$29, CT17=$E$30, $F$30, CT17=$E$31, $F$31)</f>
        <v>0.1</v>
      </c>
      <c r="CV17">
        <f>1 - ((CU17-CS17)^2) + (1 *CS17)</f>
        <v>0.99</v>
      </c>
      <c r="CW17" t="s">
        <v>161</v>
      </c>
      <c r="CX17">
        <v>0</v>
      </c>
      <c r="CY17">
        <v>3</v>
      </c>
      <c r="CZ17" cm="1">
        <f t="array" ref="CZ17">_xlfn.IFS(CY17=$E$25, $F$25, CY17=$E$26, $F$26, CY17=$E$27, $F$27, CY17=$E$28, $F$28, CY17=$E$29, $F$29, CY17=$E$30, $F$30, CY17=$E$31, $F$31)</f>
        <v>0.4</v>
      </c>
      <c r="DA17">
        <f>1 - ((CZ17-CX17)^2) + (1 *CX17)</f>
        <v>0.84</v>
      </c>
    </row>
    <row r="18" spans="1:105">
      <c r="A18" s="3">
        <v>45995.662094907406</v>
      </c>
      <c r="B18">
        <v>15</v>
      </c>
      <c r="C18" s="2">
        <f>ROUND(SUMIF($F$1:$CS$1, "Weighted Score", $F18:$CS18),2)</f>
        <v>27.53</v>
      </c>
      <c r="D18" t="s">
        <v>162</v>
      </c>
      <c r="E18" t="s">
        <v>163</v>
      </c>
      <c r="F18" t="s">
        <v>103</v>
      </c>
      <c r="G18">
        <v>0</v>
      </c>
      <c r="H18">
        <v>4</v>
      </c>
      <c r="I18" cm="1">
        <f t="array" ref="I18">_xlfn.IFS(H18=$E$25, $F$25, H18=$E$26, $F$26, H18=$E$27, $F$27, H18=$E$28, $F$28, H18=$E$29, $F$29, H18=$E$30, $F$30, H18=$E$31, $F$31)</f>
        <v>0.5</v>
      </c>
      <c r="J18">
        <f>1 - ((I18-G18)^2) + (1 *G18)</f>
        <v>0.75</v>
      </c>
      <c r="K18" t="s">
        <v>51</v>
      </c>
      <c r="L18">
        <v>1</v>
      </c>
      <c r="M18">
        <v>5</v>
      </c>
      <c r="N18" cm="1">
        <f t="array" ref="N18">_xlfn.IFS(M18=$E$25, $F$25, M18=$E$26, $F$26, M18=$E$27, $F$27, M18=$E$28, $F$28, M18=$E$29, $F$29, M18=$E$30, $F$30, M18=$E$31, $F$31)</f>
        <v>0.6</v>
      </c>
      <c r="O18">
        <f>1 - ((N18-L18)^2) + (1 *L18)</f>
        <v>1.8399999999999999</v>
      </c>
      <c r="P18">
        <v>1998</v>
      </c>
      <c r="Q18">
        <v>1</v>
      </c>
      <c r="R18">
        <v>7</v>
      </c>
      <c r="S18" cm="1">
        <f t="array" ref="S18">_xlfn.IFS(R18=$E$25, $F$25, R18=$E$26, $F$26, R18=$E$27, $F$27, R18=$E$28, $F$28, R18=$E$29, $F$29, R18=$E$30, $F$30, R18=$E$31, $F$31)</f>
        <v>0.9</v>
      </c>
      <c r="T18">
        <f>1 - ((S18-Q18)^2) + (1 *Q18)</f>
        <v>1.99</v>
      </c>
      <c r="U18">
        <v>18</v>
      </c>
      <c r="V18">
        <v>1</v>
      </c>
      <c r="W18">
        <v>7</v>
      </c>
      <c r="X18" cm="1">
        <f t="array" ref="X18">_xlfn.IFS(W18=$E$25, $F$25, W18=$E$26, $F$26, W18=$E$27, $F$27, W18=$E$28, $F$28, W18=$E$29, $F$29, W18=$E$30, $F$30, W18=$E$31, $F$31)</f>
        <v>0.9</v>
      </c>
      <c r="Y18">
        <f>1 - ((X18-V18)^2) + (1 *V18)</f>
        <v>1.99</v>
      </c>
      <c r="Z18">
        <v>5</v>
      </c>
      <c r="AA18">
        <v>1</v>
      </c>
      <c r="AB18">
        <v>6</v>
      </c>
      <c r="AC18" cm="1">
        <f t="array" ref="AC18">_xlfn.IFS(AB18=$E$25, $F$25, AB18=$E$26, $F$26, AB18=$E$27, $F$27, AB18=$E$28, $F$28, AB18=$E$29, $F$29, AB18=$E$30, $F$30, AB18=$E$31, $F$31)</f>
        <v>0.75</v>
      </c>
      <c r="AD18">
        <f>1 - ((AC18-AA18)^2) + (1 *AA18)</f>
        <v>1.9375</v>
      </c>
      <c r="AE18" s="1">
        <v>0.2</v>
      </c>
      <c r="AF18">
        <v>1</v>
      </c>
      <c r="AG18">
        <v>1</v>
      </c>
      <c r="AH18" cm="1">
        <f t="array" ref="AH18">_xlfn.IFS(AG18=$E$25, $F$25, AG18=$E$26, $F$26, AG18=$E$27, $F$27, AG18=$E$28, $F$28, AG18=$E$29, $F$29, AG18=$E$30, $F$30, AG18=$E$31, $F$31)</f>
        <v>0.1</v>
      </c>
      <c r="AI18">
        <f>1 - ((AH18-AF18)^2) + (1 *AF18)</f>
        <v>1.19</v>
      </c>
      <c r="AJ18" t="s">
        <v>52</v>
      </c>
      <c r="AK18">
        <v>1</v>
      </c>
      <c r="AL18">
        <v>6</v>
      </c>
      <c r="AM18" cm="1">
        <f t="array" ref="AM18">_xlfn.IFS(AL18=$E$25, $F$25, AL18=$E$26, $F$26, AL18=$E$27, $F$27, AL18=$E$28, $F$28, AL18=$E$29, $F$29, AL18=$E$30, $F$30, AL18=$E$31, $F$31)</f>
        <v>0.75</v>
      </c>
      <c r="AN18">
        <f>1 - ((AM18-AK18)^2) + (1 *AK18)</f>
        <v>1.9375</v>
      </c>
      <c r="AO18" t="s">
        <v>53</v>
      </c>
      <c r="AP18">
        <v>1</v>
      </c>
      <c r="AQ18">
        <v>5</v>
      </c>
      <c r="AR18" cm="1">
        <f t="array" ref="AR18">_xlfn.IFS(AQ18=$E$25, $F$25, AQ18=$E$26, $F$26, AQ18=$E$27, $F$27, AQ18=$E$28, $F$28, AQ18=$E$29, $F$29, AQ18=$E$30, $F$30, AQ18=$E$31, $F$31)</f>
        <v>0.6</v>
      </c>
      <c r="AS18">
        <f>1 - ((AR18-AP18)^2) + (1 *AP18)</f>
        <v>1.8399999999999999</v>
      </c>
      <c r="AT18" t="s">
        <v>54</v>
      </c>
      <c r="AU18">
        <v>1</v>
      </c>
      <c r="AV18">
        <v>2</v>
      </c>
      <c r="AW18" cm="1">
        <f t="array" ref="AW18">_xlfn.IFS(AV18=$E$25, $F$25, AV18=$E$26, $F$26, AV18=$E$27, $F$27, AV18=$E$28, $F$28, AV18=$E$29, $F$29, AV18=$E$30, $F$30, AV18=$E$31, $F$31)</f>
        <v>0.25</v>
      </c>
      <c r="AX18">
        <f>1 - ((AW18-AU18)^2) + (1 *AU18)</f>
        <v>1.4375</v>
      </c>
      <c r="AY18" t="s">
        <v>140</v>
      </c>
      <c r="AZ18">
        <v>0</v>
      </c>
      <c r="BA18">
        <v>4</v>
      </c>
      <c r="BB18" cm="1">
        <f t="array" ref="BB18">_xlfn.IFS(BA18=$E$25, $F$25, BA18=$E$26, $F$26, BA18=$E$27, $F$27, BA18=$E$28, $F$28, BA18=$E$29, $F$29, BA18=$E$30, $F$30, BA18=$E$31, $F$31)</f>
        <v>0.5</v>
      </c>
      <c r="BC18">
        <f>1 - ((BB18-AZ18)^2) + (1 *AZ18)</f>
        <v>0.75</v>
      </c>
      <c r="BD18" t="s">
        <v>98</v>
      </c>
      <c r="BE18">
        <v>0</v>
      </c>
      <c r="BF18">
        <v>2</v>
      </c>
      <c r="BG18" cm="1">
        <f t="array" ref="BG18">_xlfn.IFS(BF18=$E$25, $F$25, BF18=$E$26, $F$26, BF18=$E$27, $F$27, BF18=$E$28, $F$28, BF18=$E$29, $F$29, BF18=$E$30, $F$30, BF18=$E$31, $F$31)</f>
        <v>0.25</v>
      </c>
      <c r="BH18">
        <f>1 - ((BG18-BE18)^2) + (1 *BE18)</f>
        <v>0.9375</v>
      </c>
      <c r="BI18" t="s">
        <v>164</v>
      </c>
      <c r="BJ18">
        <v>0</v>
      </c>
      <c r="BK18">
        <v>2</v>
      </c>
      <c r="BL18" cm="1">
        <f t="array" ref="BL18">_xlfn.IFS(BK18=$E$25, $F$25, BK18=$E$26, $F$26, BK18=$E$27, $F$27, BK18=$E$28, $F$28, BK18=$E$29, $F$29, BK18=$E$30, $F$30, BK18=$E$31, $F$31)</f>
        <v>0.25</v>
      </c>
      <c r="BM18">
        <f>1 - ((BL18-BJ18)^2) + (1 *BJ18)</f>
        <v>0.9375</v>
      </c>
      <c r="BN18" t="s">
        <v>88</v>
      </c>
      <c r="BO18">
        <v>1</v>
      </c>
      <c r="BP18">
        <v>2</v>
      </c>
      <c r="BQ18" cm="1">
        <f t="array" ref="BQ18">_xlfn.IFS(BP18=$E$25, $F$25, BP18=$E$26, $F$26, BP18=$E$27, $F$27, BP18=$E$28, $F$28, BP18=$E$29, $F$29, BP18=$E$30, $F$30, BP18=$E$31, $F$31)</f>
        <v>0.25</v>
      </c>
      <c r="BR18">
        <f>1 - ((BQ18-BO18)^2) + (1 *BO18)</f>
        <v>1.4375</v>
      </c>
      <c r="BS18" t="s">
        <v>71</v>
      </c>
      <c r="BT18">
        <v>1</v>
      </c>
      <c r="BU18">
        <v>5</v>
      </c>
      <c r="BV18" cm="1">
        <f t="array" ref="BV18">_xlfn.IFS(BU18=$E$25, $F$25, BU18=$E$26, $F$26, BU18=$E$27, $F$27, BU18=$E$28, $F$28, BU18=$E$29, $F$29, BU18=$E$30, $F$30, BU18=$E$31, $F$31)</f>
        <v>0.6</v>
      </c>
      <c r="BW18">
        <f>1 - ((BV18-BT18)^2) + (1 *BT18)</f>
        <v>1.8399999999999999</v>
      </c>
      <c r="BX18" t="s">
        <v>60</v>
      </c>
      <c r="BY18">
        <v>1</v>
      </c>
      <c r="BZ18">
        <v>5</v>
      </c>
      <c r="CA18" cm="1">
        <f t="array" ref="CA18">_xlfn.IFS(BZ18=$E$25, $F$25, BZ18=$E$26, $F$26, BZ18=$E$27, $F$27, BZ18=$E$28, $F$28, BZ18=$E$29, $F$29, BZ18=$E$30, $F$30, BZ18=$E$31, $F$31)</f>
        <v>0.6</v>
      </c>
      <c r="CB18">
        <f>1 - ((CA18-BY18)^2) + (1 *BY18)</f>
        <v>1.8399999999999999</v>
      </c>
      <c r="CC18" t="s">
        <v>61</v>
      </c>
      <c r="CD18">
        <v>1</v>
      </c>
      <c r="CE18">
        <v>6</v>
      </c>
      <c r="CF18" cm="1">
        <f t="array" ref="CF18">_xlfn.IFS(CE18=$E$25, $F$25, CE18=$E$26, $F$26, CE18=$E$27, $F$27, CE18=$E$28, $F$28, CE18=$E$29, $F$29, CE18=$E$30, $F$30, CE18=$E$31, $F$31)</f>
        <v>0.75</v>
      </c>
      <c r="CG18">
        <f>1 - ((CF18-CD18)^2) + (1 *CD18)</f>
        <v>1.9375</v>
      </c>
      <c r="CH18">
        <v>1980</v>
      </c>
      <c r="CI18">
        <v>1</v>
      </c>
      <c r="CJ18">
        <v>4</v>
      </c>
      <c r="CK18" cm="1">
        <f t="array" ref="CK18">_xlfn.IFS(CJ18=$E$25, $F$25, CJ18=$E$26, $F$26, CJ18=$E$27, $F$27, CJ18=$E$28, $F$28, CJ18=$E$29, $F$29, CJ18=$E$30, $F$30, CJ18=$E$31, $F$31)</f>
        <v>0.5</v>
      </c>
      <c r="CL18">
        <f>1 - ((CK18-CI18)^2) + (1 *CI18)</f>
        <v>1.75</v>
      </c>
      <c r="CM18" t="s">
        <v>134</v>
      </c>
      <c r="CN18">
        <v>1</v>
      </c>
      <c r="CO18">
        <v>1</v>
      </c>
      <c r="CP18" cm="1">
        <f t="array" ref="CP18">_xlfn.IFS(CO18=$E$25, $F$25, CO18=$E$26, $F$26, CO18=$E$27, $F$27, CO18=$E$28, $F$28, CO18=$E$29, $F$29, CO18=$E$30, $F$30, CO18=$E$31, $F$31)</f>
        <v>0.1</v>
      </c>
      <c r="CQ18">
        <f>1 - ((CP18-CN18)^2) + (1 *CN18)</f>
        <v>1.19</v>
      </c>
      <c r="CR18">
        <v>6</v>
      </c>
      <c r="CS18">
        <v>0</v>
      </c>
      <c r="CT18">
        <v>1</v>
      </c>
      <c r="CU18" cm="1">
        <f t="array" ref="CU18">_xlfn.IFS(CT18=$E$25, $F$25, CT18=$E$26, $F$26, CT18=$E$27, $F$27, CT18=$E$28, $F$28, CT18=$E$29, $F$29, CT18=$E$30, $F$30, CT18=$E$31, $F$31)</f>
        <v>0.1</v>
      </c>
      <c r="CV18">
        <f>1 - ((CU18-CS18)^2) + (1 *CS18)</f>
        <v>0.99</v>
      </c>
      <c r="CW18" t="s">
        <v>149</v>
      </c>
      <c r="CX18">
        <v>1</v>
      </c>
      <c r="CY18">
        <v>6</v>
      </c>
      <c r="CZ18" cm="1">
        <f t="array" ref="CZ18">_xlfn.IFS(CY18=$E$25, $F$25, CY18=$E$26, $F$26, CY18=$E$27, $F$27, CY18=$E$28, $F$28, CY18=$E$29, $F$29, CY18=$E$30, $F$30, CY18=$E$31, $F$31)</f>
        <v>0.75</v>
      </c>
      <c r="DA18">
        <f>1 - ((CZ18-CX18)^2) + (1 *CX18)</f>
        <v>1.9375</v>
      </c>
    </row>
    <row r="19" spans="1:105">
      <c r="A19" s="3">
        <v>45995.662523148145</v>
      </c>
      <c r="B19">
        <v>11</v>
      </c>
      <c r="C19" s="2">
        <f>ROUND(SUMIF($F$1:$CS$1, "Weighted Score", $F19:$CS19),2)</f>
        <v>24.87</v>
      </c>
      <c r="D19" t="s">
        <v>165</v>
      </c>
      <c r="E19" t="s">
        <v>166</v>
      </c>
      <c r="F19" t="s">
        <v>85</v>
      </c>
      <c r="G19">
        <v>1</v>
      </c>
      <c r="H19">
        <v>7</v>
      </c>
      <c r="I19" cm="1">
        <f t="array" ref="I19">_xlfn.IFS(H19=$E$25, $F$25, H19=$E$26, $F$26, H19=$E$27, $F$27, H19=$E$28, $F$28, H19=$E$29, $F$29, H19=$E$30, $F$30, H19=$E$31, $F$31)</f>
        <v>0.9</v>
      </c>
      <c r="J19">
        <f>1 - ((I19-G19)^2) + (1 *G19)</f>
        <v>1.99</v>
      </c>
      <c r="K19" t="s">
        <v>51</v>
      </c>
      <c r="L19">
        <v>1</v>
      </c>
      <c r="M19">
        <v>7</v>
      </c>
      <c r="N19" cm="1">
        <f t="array" ref="N19">_xlfn.IFS(M19=$E$25, $F$25, M19=$E$26, $F$26, M19=$E$27, $F$27, M19=$E$28, $F$28, M19=$E$29, $F$29, M19=$E$30, $F$30, M19=$E$31, $F$31)</f>
        <v>0.9</v>
      </c>
      <c r="O19">
        <f>1 - ((N19-L19)^2) + (1 *L19)</f>
        <v>1.99</v>
      </c>
      <c r="P19">
        <v>1998</v>
      </c>
      <c r="Q19">
        <v>1</v>
      </c>
      <c r="R19">
        <v>7</v>
      </c>
      <c r="S19" cm="1">
        <f t="array" ref="S19">_xlfn.IFS(R19=$E$25, $F$25, R19=$E$26, $F$26, R19=$E$27, $F$27, R19=$E$28, $F$28, R19=$E$29, $F$29, R19=$E$30, $F$30, R19=$E$31, $F$31)</f>
        <v>0.9</v>
      </c>
      <c r="T19">
        <f>1 - ((S19-Q19)^2) + (1 *Q19)</f>
        <v>1.99</v>
      </c>
      <c r="U19">
        <v>18</v>
      </c>
      <c r="V19">
        <v>1</v>
      </c>
      <c r="W19">
        <v>7</v>
      </c>
      <c r="X19" cm="1">
        <f t="array" ref="X19">_xlfn.IFS(W19=$E$25, $F$25, W19=$E$26, $F$26, W19=$E$27, $F$27, W19=$E$28, $F$28, W19=$E$29, $F$29, W19=$E$30, $F$30, W19=$E$31, $F$31)</f>
        <v>0.9</v>
      </c>
      <c r="Y19">
        <f>1 - ((X19-V19)^2) + (1 *V19)</f>
        <v>1.99</v>
      </c>
      <c r="Z19">
        <v>5</v>
      </c>
      <c r="AA19">
        <v>1</v>
      </c>
      <c r="AB19">
        <v>7</v>
      </c>
      <c r="AC19" cm="1">
        <f t="array" ref="AC19">_xlfn.IFS(AB19=$E$25, $F$25, AB19=$E$26, $F$26, AB19=$E$27, $F$27, AB19=$E$28, $F$28, AB19=$E$29, $F$29, AB19=$E$30, $F$30, AB19=$E$31, $F$31)</f>
        <v>0.9</v>
      </c>
      <c r="AD19">
        <f>1 - ((AC19-AA19)^2) + (1 *AA19)</f>
        <v>1.99</v>
      </c>
      <c r="AE19" s="1">
        <v>0.2</v>
      </c>
      <c r="AF19">
        <v>1</v>
      </c>
      <c r="AG19">
        <v>7</v>
      </c>
      <c r="AH19" cm="1">
        <f t="array" ref="AH19">_xlfn.IFS(AG19=$E$25, $F$25, AG19=$E$26, $F$26, AG19=$E$27, $F$27, AG19=$E$28, $F$28, AG19=$E$29, $F$29, AG19=$E$30, $F$30, AG19=$E$31, $F$31)</f>
        <v>0.9</v>
      </c>
      <c r="AI19">
        <f>1 - ((AH19-AF19)^2) + (1 *AF19)</f>
        <v>1.99</v>
      </c>
      <c r="AJ19" t="s">
        <v>152</v>
      </c>
      <c r="AK19">
        <v>0</v>
      </c>
      <c r="AL19">
        <v>3</v>
      </c>
      <c r="AM19" cm="1">
        <f t="array" ref="AM19">_xlfn.IFS(AL19=$E$25, $F$25, AL19=$E$26, $F$26, AL19=$E$27, $F$27, AL19=$E$28, $F$28, AL19=$E$29, $F$29, AL19=$E$30, $F$30, AL19=$E$31, $F$31)</f>
        <v>0.4</v>
      </c>
      <c r="AN19">
        <f>1 - ((AM19-AK19)^2) + (1 *AK19)</f>
        <v>0.84</v>
      </c>
      <c r="AO19" t="s">
        <v>77</v>
      </c>
      <c r="AP19">
        <v>0</v>
      </c>
      <c r="AQ19">
        <v>7</v>
      </c>
      <c r="AR19" cm="1">
        <f t="array" ref="AR19">_xlfn.IFS(AQ19=$E$25, $F$25, AQ19=$E$26, $F$26, AQ19=$E$27, $F$27, AQ19=$E$28, $F$28, AQ19=$E$29, $F$29, AQ19=$E$30, $F$30, AQ19=$E$31, $F$31)</f>
        <v>0.9</v>
      </c>
      <c r="AS19">
        <f>1 - ((AR19-AP19)^2) + (1 *AP19)</f>
        <v>0.18999999999999995</v>
      </c>
      <c r="AT19" t="s">
        <v>54</v>
      </c>
      <c r="AU19">
        <v>1</v>
      </c>
      <c r="AV19">
        <v>7</v>
      </c>
      <c r="AW19" cm="1">
        <f t="array" ref="AW19">_xlfn.IFS(AV19=$E$25, $F$25, AV19=$E$26, $F$26, AV19=$E$27, $F$27, AV19=$E$28, $F$28, AV19=$E$29, $F$29, AV19=$E$30, $F$30, AV19=$E$31, $F$31)</f>
        <v>0.9</v>
      </c>
      <c r="AX19">
        <f>1 - ((AW19-AU19)^2) + (1 *AU19)</f>
        <v>1.99</v>
      </c>
      <c r="AY19" t="s">
        <v>68</v>
      </c>
      <c r="AZ19">
        <v>1</v>
      </c>
      <c r="BA19">
        <v>7</v>
      </c>
      <c r="BB19" cm="1">
        <f t="array" ref="BB19">_xlfn.IFS(BA19=$E$25, $F$25, BA19=$E$26, $F$26, BA19=$E$27, $F$27, BA19=$E$28, $F$28, BA19=$E$29, $F$29, BA19=$E$30, $F$30, BA19=$E$31, $F$31)</f>
        <v>0.9</v>
      </c>
      <c r="BC19">
        <f>1 - ((BB19-AZ19)^2) + (1 *AZ19)</f>
        <v>1.99</v>
      </c>
      <c r="BD19">
        <v>1960</v>
      </c>
      <c r="BE19">
        <v>0</v>
      </c>
      <c r="BF19">
        <v>1</v>
      </c>
      <c r="BG19" cm="1">
        <f t="array" ref="BG19">_xlfn.IFS(BF19=$E$25, $F$25, BF19=$E$26, $F$26, BF19=$E$27, $F$27, BF19=$E$28, $F$28, BF19=$E$29, $F$29, BF19=$E$30, $F$30, BF19=$E$31, $F$31)</f>
        <v>0.1</v>
      </c>
      <c r="BH19">
        <f>1 - ((BG19-BE19)^2) + (1 *BE19)</f>
        <v>0.99</v>
      </c>
      <c r="BI19" t="s">
        <v>167</v>
      </c>
      <c r="BJ19">
        <v>0</v>
      </c>
      <c r="BK19">
        <v>3</v>
      </c>
      <c r="BL19" cm="1">
        <f t="array" ref="BL19">_xlfn.IFS(BK19=$E$25, $F$25, BK19=$E$26, $F$26, BK19=$E$27, $F$27, BK19=$E$28, $F$28, BK19=$E$29, $F$29, BK19=$E$30, $F$30, BK19=$E$31, $F$31)</f>
        <v>0.4</v>
      </c>
      <c r="BM19">
        <f>1 - ((BL19-BJ19)^2) + (1 *BJ19)</f>
        <v>0.84</v>
      </c>
      <c r="BN19" t="s">
        <v>168</v>
      </c>
      <c r="BO19">
        <v>0</v>
      </c>
      <c r="BP19">
        <v>3</v>
      </c>
      <c r="BQ19" cm="1">
        <f t="array" ref="BQ19">_xlfn.IFS(BP19=$E$25, $F$25, BP19=$E$26, $F$26, BP19=$E$27, $F$27, BP19=$E$28, $F$28, BP19=$E$29, $F$29, BP19=$E$30, $F$30, BP19=$E$31, $F$31)</f>
        <v>0.4</v>
      </c>
      <c r="BR19">
        <f>1 - ((BQ19-BO19)^2) + (1 *BO19)</f>
        <v>0.84</v>
      </c>
      <c r="BS19" t="s">
        <v>81</v>
      </c>
      <c r="BT19">
        <v>0</v>
      </c>
      <c r="BU19">
        <v>6</v>
      </c>
      <c r="BV19" cm="1">
        <f t="array" ref="BV19">_xlfn.IFS(BU19=$E$25, $F$25, BU19=$E$26, $F$26, BU19=$E$27, $F$27, BU19=$E$28, $F$28, BU19=$E$29, $F$29, BU19=$E$30, $F$30, BU19=$E$31, $F$31)</f>
        <v>0.75</v>
      </c>
      <c r="BW19">
        <f>1 - ((BV19-BT19)^2) + (1 *BT19)</f>
        <v>0.4375</v>
      </c>
      <c r="BX19" t="s">
        <v>60</v>
      </c>
      <c r="BY19">
        <v>1</v>
      </c>
      <c r="BZ19">
        <v>7</v>
      </c>
      <c r="CA19" cm="1">
        <f t="array" ref="CA19">_xlfn.IFS(BZ19=$E$25, $F$25, BZ19=$E$26, $F$26, BZ19=$E$27, $F$27, BZ19=$E$28, $F$28, BZ19=$E$29, $F$29, BZ19=$E$30, $F$30, BZ19=$E$31, $F$31)</f>
        <v>0.9</v>
      </c>
      <c r="CB19">
        <f>1 - ((CA19-BY19)^2) + (1 *BY19)</f>
        <v>1.99</v>
      </c>
      <c r="CC19" t="s">
        <v>61</v>
      </c>
      <c r="CD19">
        <v>1</v>
      </c>
      <c r="CE19">
        <v>7</v>
      </c>
      <c r="CF19" cm="1">
        <f t="array" ref="CF19">_xlfn.IFS(CE19=$E$25, $F$25, CE19=$E$26, $F$26, CE19=$E$27, $F$27, CE19=$E$28, $F$28, CE19=$E$29, $F$29, CE19=$E$30, $F$30, CE19=$E$31, $F$31)</f>
        <v>0.9</v>
      </c>
      <c r="CG19">
        <f>1 - ((CF19-CD19)^2) + (1 *CD19)</f>
        <v>1.99</v>
      </c>
      <c r="CH19">
        <v>1997</v>
      </c>
      <c r="CI19">
        <v>0</v>
      </c>
      <c r="CJ19">
        <v>7</v>
      </c>
      <c r="CK19" cm="1">
        <f t="array" ref="CK19">_xlfn.IFS(CJ19=$E$25, $F$25, CJ19=$E$26, $F$26, CJ19=$E$27, $F$27, CJ19=$E$28, $F$28, CJ19=$E$29, $F$29, CJ19=$E$30, $F$30, CJ19=$E$31, $F$31)</f>
        <v>0.9</v>
      </c>
      <c r="CL19">
        <f>1 - ((CK19-CI19)^2) + (1 *CI19)</f>
        <v>0.18999999999999995</v>
      </c>
      <c r="CM19" t="s">
        <v>62</v>
      </c>
      <c r="CN19">
        <v>0</v>
      </c>
      <c r="CO19">
        <v>5</v>
      </c>
      <c r="CP19" cm="1">
        <f t="array" ref="CP19">_xlfn.IFS(CO19=$E$25, $F$25, CO19=$E$26, $F$26, CO19=$E$27, $F$27, CO19=$E$28, $F$28, CO19=$E$29, $F$29, CO19=$E$30, $F$30, CO19=$E$31, $F$31)</f>
        <v>0.6</v>
      </c>
      <c r="CQ19">
        <f>1 - ((CP19-CN19)^2) + (1 *CN19)</f>
        <v>0.64</v>
      </c>
      <c r="CR19">
        <v>46</v>
      </c>
      <c r="CS19">
        <v>0</v>
      </c>
      <c r="CT19">
        <v>5</v>
      </c>
      <c r="CU19" cm="1">
        <f t="array" ref="CU19">_xlfn.IFS(CT19=$E$25, $F$25, CT19=$E$26, $F$26, CT19=$E$27, $F$27, CT19=$E$28, $F$28, CT19=$E$29, $F$29, CT19=$E$30, $F$30, CT19=$E$31, $F$31)</f>
        <v>0.6</v>
      </c>
      <c r="CV19">
        <f>1 - ((CU19-CS19)^2) + (1 *CS19)</f>
        <v>0.64</v>
      </c>
      <c r="CW19" t="s">
        <v>169</v>
      </c>
      <c r="CX19">
        <v>1</v>
      </c>
      <c r="CY19">
        <v>7</v>
      </c>
      <c r="CZ19" cm="1">
        <f t="array" ref="CZ19">_xlfn.IFS(CY19=$E$25, $F$25, CY19=$E$26, $F$26, CY19=$E$27, $F$27, CY19=$E$28, $F$28, CY19=$E$29, $F$29, CY19=$E$30, $F$30, CY19=$E$31, $F$31)</f>
        <v>0.9</v>
      </c>
      <c r="DA19">
        <f>1 - ((CZ19-CX19)^2) + (1 *CX19)</f>
        <v>1.99</v>
      </c>
    </row>
    <row r="20" spans="1:105">
      <c r="A20" s="3">
        <v>45995.663726851853</v>
      </c>
      <c r="B20">
        <v>8</v>
      </c>
      <c r="C20" s="2">
        <f>ROUND(SUMIF($F$1:$CS$1, "Weighted Score", $F20:$CS20),2)</f>
        <v>22.75</v>
      </c>
      <c r="D20" t="s">
        <v>170</v>
      </c>
      <c r="E20" t="s">
        <v>171</v>
      </c>
      <c r="F20" t="s">
        <v>85</v>
      </c>
      <c r="G20">
        <v>1</v>
      </c>
      <c r="H20">
        <v>5</v>
      </c>
      <c r="I20" cm="1">
        <f t="array" ref="I20">_xlfn.IFS(H20=$E$25, $F$25, H20=$E$26, $F$26, H20=$E$27, $F$27, H20=$E$28, $F$28, H20=$E$29, $F$29, H20=$E$30, $F$30, H20=$E$31, $F$31)</f>
        <v>0.6</v>
      </c>
      <c r="J20">
        <f>1 - ((I20-G20)^2) + (1 *G20)</f>
        <v>1.8399999999999999</v>
      </c>
      <c r="K20" t="s">
        <v>172</v>
      </c>
      <c r="L20">
        <v>0</v>
      </c>
      <c r="M20">
        <v>1</v>
      </c>
      <c r="N20" cm="1">
        <f t="array" ref="N20">_xlfn.IFS(M20=$E$25, $F$25, M20=$E$26, $F$26, M20=$E$27, $F$27, M20=$E$28, $F$28, M20=$E$29, $F$29, M20=$E$30, $F$30, M20=$E$31, $F$31)</f>
        <v>0.1</v>
      </c>
      <c r="O20">
        <f>1 - ((N20-L20)^2) + (1 *L20)</f>
        <v>0.99</v>
      </c>
      <c r="P20">
        <v>1989</v>
      </c>
      <c r="Q20">
        <v>0</v>
      </c>
      <c r="R20">
        <v>3</v>
      </c>
      <c r="S20" cm="1">
        <f t="array" ref="S20">_xlfn.IFS(R20=$E$25, $F$25, R20=$E$26, $F$26, R20=$E$27, $F$27, R20=$E$28, $F$28, R20=$E$29, $F$29, R20=$E$30, $F$30, R20=$E$31, $F$31)</f>
        <v>0.4</v>
      </c>
      <c r="T20">
        <f>1 - ((S20-Q20)^2) + (1 *Q20)</f>
        <v>0.84</v>
      </c>
      <c r="U20">
        <v>18</v>
      </c>
      <c r="V20">
        <v>1</v>
      </c>
      <c r="W20">
        <v>7</v>
      </c>
      <c r="X20" cm="1">
        <f t="array" ref="X20">_xlfn.IFS(W20=$E$25, $F$25, W20=$E$26, $F$26, W20=$E$27, $F$27, W20=$E$28, $F$28, W20=$E$29, $F$29, W20=$E$30, $F$30, W20=$E$31, $F$31)</f>
        <v>0.9</v>
      </c>
      <c r="Y20">
        <f>1 - ((X20-V20)^2) + (1 *V20)</f>
        <v>1.99</v>
      </c>
      <c r="Z20">
        <v>20</v>
      </c>
      <c r="AA20">
        <v>0</v>
      </c>
      <c r="AB20">
        <v>2</v>
      </c>
      <c r="AC20" cm="1">
        <f t="array" ref="AC20">_xlfn.IFS(AB20=$E$25, $F$25, AB20=$E$26, $F$26, AB20=$E$27, $F$27, AB20=$E$28, $F$28, AB20=$E$29, $F$29, AB20=$E$30, $F$30, AB20=$E$31, $F$31)</f>
        <v>0.25</v>
      </c>
      <c r="AD20">
        <f>1 - ((AC20-AA20)^2) + (1 *AA20)</f>
        <v>0.9375</v>
      </c>
      <c r="AE20" s="1">
        <v>0.18</v>
      </c>
      <c r="AF20">
        <v>0</v>
      </c>
      <c r="AG20">
        <v>3</v>
      </c>
      <c r="AH20" cm="1">
        <f t="array" ref="AH20">_xlfn.IFS(AG20=$E$25, $F$25, AG20=$E$26, $F$26, AG20=$E$27, $F$27, AG20=$E$28, $F$28, AG20=$E$29, $F$29, AG20=$E$30, $F$30, AG20=$E$31, $F$31)</f>
        <v>0.4</v>
      </c>
      <c r="AI20">
        <f>1 - ((AH20-AF20)^2) + (1 *AF20)</f>
        <v>0.84</v>
      </c>
      <c r="AJ20" t="s">
        <v>152</v>
      </c>
      <c r="AK20">
        <v>0</v>
      </c>
      <c r="AL20">
        <v>4</v>
      </c>
      <c r="AM20" cm="1">
        <f t="array" ref="AM20">_xlfn.IFS(AL20=$E$25, $F$25, AL20=$E$26, $F$26, AL20=$E$27, $F$27, AL20=$E$28, $F$28, AL20=$E$29, $F$29, AL20=$E$30, $F$30, AL20=$E$31, $F$31)</f>
        <v>0.5</v>
      </c>
      <c r="AN20">
        <f>1 - ((AM20-AK20)^2) + (1 *AK20)</f>
        <v>0.75</v>
      </c>
      <c r="AO20" t="s">
        <v>77</v>
      </c>
      <c r="AP20">
        <v>0</v>
      </c>
      <c r="AQ20">
        <v>4</v>
      </c>
      <c r="AR20" cm="1">
        <f t="array" ref="AR20">_xlfn.IFS(AQ20=$E$25, $F$25, AQ20=$E$26, $F$26, AQ20=$E$27, $F$27, AQ20=$E$28, $F$28, AQ20=$E$29, $F$29, AQ20=$E$30, $F$30, AQ20=$E$31, $F$31)</f>
        <v>0.5</v>
      </c>
      <c r="AS20">
        <f>1 - ((AR20-AP20)^2) + (1 *AP20)</f>
        <v>0.75</v>
      </c>
      <c r="AT20" t="s">
        <v>116</v>
      </c>
      <c r="AU20">
        <v>0</v>
      </c>
      <c r="AV20">
        <v>3</v>
      </c>
      <c r="AW20" cm="1">
        <f t="array" ref="AW20">_xlfn.IFS(AV20=$E$25, $F$25, AV20=$E$26, $F$26, AV20=$E$27, $F$27, AV20=$E$28, $F$28, AV20=$E$29, $F$29, AV20=$E$30, $F$30, AV20=$E$31, $F$31)</f>
        <v>0.4</v>
      </c>
      <c r="AX20">
        <f>1 - ((AW20-AU20)^2) + (1 *AU20)</f>
        <v>0.84</v>
      </c>
      <c r="AY20" t="s">
        <v>173</v>
      </c>
      <c r="AZ20">
        <v>0</v>
      </c>
      <c r="BA20">
        <v>5</v>
      </c>
      <c r="BB20" cm="1">
        <f t="array" ref="BB20">_xlfn.IFS(BA20=$E$25, $F$25, BA20=$E$26, $F$26, BA20=$E$27, $F$27, BA20=$E$28, $F$28, BA20=$E$29, $F$29, BA20=$E$30, $F$30, BA20=$E$31, $F$31)</f>
        <v>0.6</v>
      </c>
      <c r="BC20">
        <f>1 - ((BB20-AZ20)^2) + (1 *AZ20)</f>
        <v>0.64</v>
      </c>
      <c r="BD20" t="s">
        <v>174</v>
      </c>
      <c r="BE20">
        <v>0</v>
      </c>
      <c r="BF20">
        <v>1</v>
      </c>
      <c r="BG20" cm="1">
        <f t="array" ref="BG20">_xlfn.IFS(BF20=$E$25, $F$25, BF20=$E$26, $F$26, BF20=$E$27, $F$27, BF20=$E$28, $F$28, BF20=$E$29, $F$29, BF20=$E$30, $F$30, BF20=$E$31, $F$31)</f>
        <v>0.1</v>
      </c>
      <c r="BH20">
        <f>1 - ((BG20-BE20)^2) + (1 *BE20)</f>
        <v>0.99</v>
      </c>
      <c r="BI20" t="s">
        <v>175</v>
      </c>
      <c r="BJ20">
        <v>0</v>
      </c>
      <c r="BK20">
        <v>3</v>
      </c>
      <c r="BL20" cm="1">
        <f t="array" ref="BL20">_xlfn.IFS(BK20=$E$25, $F$25, BK20=$E$26, $F$26, BK20=$E$27, $F$27, BK20=$E$28, $F$28, BK20=$E$29, $F$29, BK20=$E$30, $F$30, BK20=$E$31, $F$31)</f>
        <v>0.4</v>
      </c>
      <c r="BM20">
        <f>1 - ((BL20-BJ20)^2) + (1 *BJ20)</f>
        <v>0.84</v>
      </c>
      <c r="BN20" t="s">
        <v>88</v>
      </c>
      <c r="BO20">
        <v>1</v>
      </c>
      <c r="BP20">
        <v>7</v>
      </c>
      <c r="BQ20" cm="1">
        <f t="array" ref="BQ20">_xlfn.IFS(BP20=$E$25, $F$25, BP20=$E$26, $F$26, BP20=$E$27, $F$27, BP20=$E$28, $F$28, BP20=$E$29, $F$29, BP20=$E$30, $F$30, BP20=$E$31, $F$31)</f>
        <v>0.9</v>
      </c>
      <c r="BR20">
        <f>1 - ((BQ20-BO20)^2) + (1 *BO20)</f>
        <v>1.99</v>
      </c>
      <c r="BS20" t="s">
        <v>71</v>
      </c>
      <c r="BT20">
        <v>1</v>
      </c>
      <c r="BU20">
        <v>6</v>
      </c>
      <c r="BV20" cm="1">
        <f t="array" ref="BV20">_xlfn.IFS(BU20=$E$25, $F$25, BU20=$E$26, $F$26, BU20=$E$27, $F$27, BU20=$E$28, $F$28, BU20=$E$29, $F$29, BU20=$E$30, $F$30, BU20=$E$31, $F$31)</f>
        <v>0.75</v>
      </c>
      <c r="BW20">
        <f>1 - ((BV20-BT20)^2) + (1 *BT20)</f>
        <v>1.9375</v>
      </c>
      <c r="BX20" t="s">
        <v>60</v>
      </c>
      <c r="BY20">
        <v>1</v>
      </c>
      <c r="BZ20">
        <v>5</v>
      </c>
      <c r="CA20" cm="1">
        <f t="array" ref="CA20">_xlfn.IFS(BZ20=$E$25, $F$25, BZ20=$E$26, $F$26, BZ20=$E$27, $F$27, BZ20=$E$28, $F$28, BZ20=$E$29, $F$29, BZ20=$E$30, $F$30, BZ20=$E$31, $F$31)</f>
        <v>0.6</v>
      </c>
      <c r="CB20">
        <f>1 - ((CA20-BY20)^2) + (1 *BY20)</f>
        <v>1.8399999999999999</v>
      </c>
      <c r="CC20" t="s">
        <v>61</v>
      </c>
      <c r="CD20">
        <v>1</v>
      </c>
      <c r="CE20">
        <v>7</v>
      </c>
      <c r="CF20" cm="1">
        <f t="array" ref="CF20">_xlfn.IFS(CE20=$E$25, $F$25, CE20=$E$26, $F$26, CE20=$E$27, $F$27, CE20=$E$28, $F$28, CE20=$E$29, $F$29, CE20=$E$30, $F$30, CE20=$E$31, $F$31)</f>
        <v>0.9</v>
      </c>
      <c r="CG20">
        <f>1 - ((CF20-CD20)^2) + (1 *CD20)</f>
        <v>1.99</v>
      </c>
      <c r="CH20">
        <v>1980</v>
      </c>
      <c r="CI20">
        <v>1</v>
      </c>
      <c r="CJ20">
        <v>7</v>
      </c>
      <c r="CK20" cm="1">
        <f t="array" ref="CK20">_xlfn.IFS(CJ20=$E$25, $F$25, CJ20=$E$26, $F$26, CJ20=$E$27, $F$27, CJ20=$E$28, $F$28, CJ20=$E$29, $F$29, CJ20=$E$30, $F$30, CJ20=$E$31, $F$31)</f>
        <v>0.9</v>
      </c>
      <c r="CL20">
        <f>1 - ((CK20-CI20)^2) + (1 *CI20)</f>
        <v>1.99</v>
      </c>
      <c r="CM20" t="s">
        <v>62</v>
      </c>
      <c r="CN20">
        <v>0</v>
      </c>
      <c r="CO20">
        <v>4</v>
      </c>
      <c r="CP20" cm="1">
        <f t="array" ref="CP20">_xlfn.IFS(CO20=$E$25, $F$25, CO20=$E$26, $F$26, CO20=$E$27, $F$27, CO20=$E$28, $F$28, CO20=$E$29, $F$29, CO20=$E$30, $F$30, CO20=$E$31, $F$31)</f>
        <v>0.5</v>
      </c>
      <c r="CQ20">
        <f>1 - ((CP20-CN20)^2) + (1 *CN20)</f>
        <v>0.75</v>
      </c>
      <c r="CR20">
        <v>12</v>
      </c>
      <c r="CS20">
        <v>1</v>
      </c>
      <c r="CT20">
        <v>4</v>
      </c>
      <c r="CU20" cm="1">
        <f t="array" ref="CU20">_xlfn.IFS(CT20=$E$25, $F$25, CT20=$E$26, $F$26, CT20=$E$27, $F$27, CT20=$E$28, $F$28, CT20=$E$29, $F$29, CT20=$E$30, $F$30, CT20=$E$31, $F$31)</f>
        <v>0.5</v>
      </c>
      <c r="CV20">
        <f>1 - ((CU20-CS20)^2) + (1 *CS20)</f>
        <v>1.75</v>
      </c>
      <c r="CW20" t="s">
        <v>176</v>
      </c>
      <c r="CX20">
        <v>0</v>
      </c>
      <c r="CY20">
        <v>3</v>
      </c>
      <c r="CZ20" cm="1">
        <f t="array" ref="CZ20">_xlfn.IFS(CY20=$E$25, $F$25, CY20=$E$26, $F$26, CY20=$E$27, $F$27, CY20=$E$28, $F$28, CY20=$E$29, $F$29, CY20=$E$30, $F$30, CY20=$E$31, $F$31)</f>
        <v>0.4</v>
      </c>
      <c r="DA20">
        <f>1 - ((CZ20-CX20)^2) + (1 *CX20)</f>
        <v>0.84</v>
      </c>
    </row>
    <row r="21" spans="1:105">
      <c r="A21" s="3">
        <v>45995.68787037037</v>
      </c>
      <c r="B21">
        <v>10</v>
      </c>
      <c r="C21" s="2">
        <f>ROUND(SUMIF($F$1:$CS$1, "Weighted Score", $F21:$CS21),2)</f>
        <v>24.44</v>
      </c>
      <c r="D21" t="s">
        <v>177</v>
      </c>
      <c r="E21" t="s">
        <v>178</v>
      </c>
      <c r="F21" t="s">
        <v>85</v>
      </c>
      <c r="G21">
        <v>1</v>
      </c>
      <c r="H21">
        <v>7</v>
      </c>
      <c r="I21" cm="1">
        <f t="array" ref="I21">_xlfn.IFS(H21=$E$25, $F$25, H21=$E$26, $F$26, H21=$E$27, $F$27, H21=$E$28, $F$28, H21=$E$29, $F$29, H21=$E$30, $F$30, H21=$E$31, $F$31)</f>
        <v>0.9</v>
      </c>
      <c r="J21">
        <f>1 - ((I21-G21)^2) + (1 *G21)</f>
        <v>1.99</v>
      </c>
      <c r="K21" t="s">
        <v>51</v>
      </c>
      <c r="L21">
        <v>1</v>
      </c>
      <c r="M21">
        <v>7</v>
      </c>
      <c r="N21" cm="1">
        <f t="array" ref="N21">_xlfn.IFS(M21=$E$25, $F$25, M21=$E$26, $F$26, M21=$E$27, $F$27, M21=$E$28, $F$28, M21=$E$29, $F$29, M21=$E$30, $F$30, M21=$E$31, $F$31)</f>
        <v>0.9</v>
      </c>
      <c r="O21">
        <f>1 - ((N21-L21)^2) + (1 *L21)</f>
        <v>1.99</v>
      </c>
      <c r="P21">
        <v>1990</v>
      </c>
      <c r="Q21">
        <v>0</v>
      </c>
      <c r="R21">
        <v>4</v>
      </c>
      <c r="S21" cm="1">
        <f t="array" ref="S21">_xlfn.IFS(R21=$E$25, $F$25, R21=$E$26, $F$26, R21=$E$27, $F$27, R21=$E$28, $F$28, R21=$E$29, $F$29, R21=$E$30, $F$30, R21=$E$31, $F$31)</f>
        <v>0.5</v>
      </c>
      <c r="T21">
        <f>1 - ((S21-Q21)^2) + (1 *Q21)</f>
        <v>0.75</v>
      </c>
      <c r="U21">
        <v>18</v>
      </c>
      <c r="V21">
        <v>1</v>
      </c>
      <c r="W21">
        <v>7</v>
      </c>
      <c r="X21" cm="1">
        <f t="array" ref="X21">_xlfn.IFS(W21=$E$25, $F$25, W21=$E$26, $F$26, W21=$E$27, $F$27, W21=$E$28, $F$28, W21=$E$29, $F$29, W21=$E$30, $F$30, W21=$E$31, $F$31)</f>
        <v>0.9</v>
      </c>
      <c r="Y21">
        <f>1 - ((X21-V21)^2) + (1 *V21)</f>
        <v>1.99</v>
      </c>
      <c r="Z21">
        <v>3</v>
      </c>
      <c r="AA21">
        <v>0</v>
      </c>
      <c r="AB21">
        <v>4</v>
      </c>
      <c r="AC21" cm="1">
        <f t="array" ref="AC21">_xlfn.IFS(AB21=$E$25, $F$25, AB21=$E$26, $F$26, AB21=$E$27, $F$27, AB21=$E$28, $F$28, AB21=$E$29, $F$29, AB21=$E$30, $F$30, AB21=$E$31, $F$31)</f>
        <v>0.5</v>
      </c>
      <c r="AD21">
        <f>1 - ((AC21-AA21)^2) + (1 *AA21)</f>
        <v>0.75</v>
      </c>
      <c r="AE21" s="1">
        <v>0.18</v>
      </c>
      <c r="AF21">
        <v>0</v>
      </c>
      <c r="AG21">
        <v>2</v>
      </c>
      <c r="AH21" cm="1">
        <f t="array" ref="AH21">_xlfn.IFS(AG21=$E$25, $F$25, AG21=$E$26, $F$26, AG21=$E$27, $F$27, AG21=$E$28, $F$28, AG21=$E$29, $F$29, AG21=$E$30, $F$30, AG21=$E$31, $F$31)</f>
        <v>0.25</v>
      </c>
      <c r="AI21">
        <f>1 - ((AH21-AF21)^2) + (1 *AF21)</f>
        <v>0.9375</v>
      </c>
      <c r="AJ21" t="s">
        <v>52</v>
      </c>
      <c r="AK21">
        <v>1</v>
      </c>
      <c r="AL21">
        <v>7</v>
      </c>
      <c r="AM21" cm="1">
        <f t="array" ref="AM21">_xlfn.IFS(AL21=$E$25, $F$25, AL21=$E$26, $F$26, AL21=$E$27, $F$27, AL21=$E$28, $F$28, AL21=$E$29, $F$29, AL21=$E$30, $F$30, AL21=$E$31, $F$31)</f>
        <v>0.9</v>
      </c>
      <c r="AN21">
        <f>1 - ((AM21-AK21)^2) + (1 *AK21)</f>
        <v>1.99</v>
      </c>
      <c r="AO21" t="s">
        <v>67</v>
      </c>
      <c r="AP21">
        <v>0</v>
      </c>
      <c r="AQ21">
        <v>3</v>
      </c>
      <c r="AR21" cm="1">
        <f t="array" ref="AR21">_xlfn.IFS(AQ21=$E$25, $F$25, AQ21=$E$26, $F$26, AQ21=$E$27, $F$27, AQ21=$E$28, $F$28, AQ21=$E$29, $F$29, AQ21=$E$30, $F$30, AQ21=$E$31, $F$31)</f>
        <v>0.4</v>
      </c>
      <c r="AS21">
        <f>1 - ((AR21-AP21)^2) + (1 *AP21)</f>
        <v>0.84</v>
      </c>
      <c r="AT21" t="s">
        <v>54</v>
      </c>
      <c r="AU21">
        <v>1</v>
      </c>
      <c r="AV21">
        <v>5</v>
      </c>
      <c r="AW21" cm="1">
        <f t="array" ref="AW21">_xlfn.IFS(AV21=$E$25, $F$25, AV21=$E$26, $F$26, AV21=$E$27, $F$27, AV21=$E$28, $F$28, AV21=$E$29, $F$29, AV21=$E$30, $F$30, AV21=$E$31, $F$31)</f>
        <v>0.6</v>
      </c>
      <c r="AX21">
        <f>1 - ((AW21-AU21)^2) + (1 *AU21)</f>
        <v>1.8399999999999999</v>
      </c>
      <c r="AY21" t="s">
        <v>55</v>
      </c>
      <c r="AZ21">
        <v>0</v>
      </c>
      <c r="BA21">
        <v>4</v>
      </c>
      <c r="BB21" cm="1">
        <f t="array" ref="BB21">_xlfn.IFS(BA21=$E$25, $F$25, BA21=$E$26, $F$26, BA21=$E$27, $F$27, BA21=$E$28, $F$28, BA21=$E$29, $F$29, BA21=$E$30, $F$30, BA21=$E$31, $F$31)</f>
        <v>0.5</v>
      </c>
      <c r="BC21">
        <f>1 - ((BB21-AZ21)^2) + (1 *AZ21)</f>
        <v>0.75</v>
      </c>
      <c r="BD21" t="s">
        <v>179</v>
      </c>
      <c r="BE21">
        <v>0</v>
      </c>
      <c r="BF21">
        <v>3</v>
      </c>
      <c r="BG21" cm="1">
        <f t="array" ref="BG21">_xlfn.IFS(BF21=$E$25, $F$25, BF21=$E$26, $F$26, BF21=$E$27, $F$27, BF21=$E$28, $F$28, BF21=$E$29, $F$29, BF21=$E$30, $F$30, BF21=$E$31, $F$31)</f>
        <v>0.4</v>
      </c>
      <c r="BH21">
        <f>1 - ((BG21-BE21)^2) + (1 *BE21)</f>
        <v>0.84</v>
      </c>
      <c r="BI21" t="s">
        <v>180</v>
      </c>
      <c r="BJ21">
        <v>1</v>
      </c>
      <c r="BK21">
        <v>3</v>
      </c>
      <c r="BL21" cm="1">
        <f t="array" ref="BL21">_xlfn.IFS(BK21=$E$25, $F$25, BK21=$E$26, $F$26, BK21=$E$27, $F$27, BK21=$E$28, $F$28, BK21=$E$29, $F$29, BK21=$E$30, $F$30, BK21=$E$31, $F$31)</f>
        <v>0.4</v>
      </c>
      <c r="BM21">
        <f>1 - ((BL21-BJ21)^2) + (1 *BJ21)</f>
        <v>1.6400000000000001</v>
      </c>
      <c r="BN21" t="s">
        <v>58</v>
      </c>
      <c r="BO21">
        <v>0</v>
      </c>
      <c r="BP21">
        <v>6</v>
      </c>
      <c r="BQ21" cm="1">
        <f t="array" ref="BQ21">_xlfn.IFS(BP21=$E$25, $F$25, BP21=$E$26, $F$26, BP21=$E$27, $F$27, BP21=$E$28, $F$28, BP21=$E$29, $F$29, BP21=$E$30, $F$30, BP21=$E$31, $F$31)</f>
        <v>0.75</v>
      </c>
      <c r="BR21">
        <f>1 - ((BQ21-BO21)^2) + (1 *BO21)</f>
        <v>0.4375</v>
      </c>
      <c r="BS21" t="s">
        <v>71</v>
      </c>
      <c r="BT21">
        <v>1</v>
      </c>
      <c r="BU21">
        <v>6</v>
      </c>
      <c r="BV21" cm="1">
        <f t="array" ref="BV21">_xlfn.IFS(BU21=$E$25, $F$25, BU21=$E$26, $F$26, BU21=$E$27, $F$27, BU21=$E$28, $F$28, BU21=$E$29, $F$29, BU21=$E$30, $F$30, BU21=$E$31, $F$31)</f>
        <v>0.75</v>
      </c>
      <c r="BW21">
        <f>1 - ((BV21-BT21)^2) + (1 *BT21)</f>
        <v>1.9375</v>
      </c>
      <c r="BX21" t="s">
        <v>181</v>
      </c>
      <c r="BY21">
        <v>0</v>
      </c>
      <c r="BZ21">
        <v>3</v>
      </c>
      <c r="CA21" cm="1">
        <f t="array" ref="CA21">_xlfn.IFS(BZ21=$E$25, $F$25, BZ21=$E$26, $F$26, BZ21=$E$27, $F$27, BZ21=$E$28, $F$28, BZ21=$E$29, $F$29, BZ21=$E$30, $F$30, BZ21=$E$31, $F$31)</f>
        <v>0.4</v>
      </c>
      <c r="CB21">
        <f>1 - ((CA21-BY21)^2) + (1 *BY21)</f>
        <v>0.84</v>
      </c>
      <c r="CC21" t="s">
        <v>61</v>
      </c>
      <c r="CD21">
        <v>1</v>
      </c>
      <c r="CE21">
        <v>7</v>
      </c>
      <c r="CF21" cm="1">
        <f t="array" ref="CF21">_xlfn.IFS(CE21=$E$25, $F$25, CE21=$E$26, $F$26, CE21=$E$27, $F$27, CE21=$E$28, $F$28, CE21=$E$29, $F$29, CE21=$E$30, $F$30, CE21=$E$31, $F$31)</f>
        <v>0.9</v>
      </c>
      <c r="CG21">
        <f>1 - ((CF21-CD21)^2) + (1 *CD21)</f>
        <v>1.99</v>
      </c>
      <c r="CH21">
        <v>1980</v>
      </c>
      <c r="CI21">
        <v>1</v>
      </c>
      <c r="CJ21">
        <v>7</v>
      </c>
      <c r="CK21" cm="1">
        <f t="array" ref="CK21">_xlfn.IFS(CJ21=$E$25, $F$25, CJ21=$E$26, $F$26, CJ21=$E$27, $F$27, CJ21=$E$28, $F$28, CJ21=$E$29, $F$29, CJ21=$E$30, $F$30, CJ21=$E$31, $F$31)</f>
        <v>0.9</v>
      </c>
      <c r="CL21">
        <f>1 - ((CK21-CI21)^2) + (1 *CI21)</f>
        <v>1.99</v>
      </c>
      <c r="CM21" t="s">
        <v>62</v>
      </c>
      <c r="CN21">
        <v>0</v>
      </c>
      <c r="CO21">
        <v>2</v>
      </c>
      <c r="CP21" cm="1">
        <f t="array" ref="CP21">_xlfn.IFS(CO21=$E$25, $F$25, CO21=$E$26, $F$26, CO21=$E$27, $F$27, CO21=$E$28, $F$28, CO21=$E$29, $F$29, CO21=$E$30, $F$30, CO21=$E$31, $F$31)</f>
        <v>0.25</v>
      </c>
      <c r="CQ21">
        <f>1 - ((CP21-CN21)^2) + (1 *CN21)</f>
        <v>0.9375</v>
      </c>
      <c r="CR21">
        <v>20</v>
      </c>
      <c r="CS21">
        <v>0</v>
      </c>
      <c r="CT21">
        <v>2</v>
      </c>
      <c r="CU21" cm="1">
        <f t="array" ref="CU21">_xlfn.IFS(CT21=$E$25, $F$25, CT21=$E$26, $F$26, CT21=$E$27, $F$27, CT21=$E$28, $F$28, CT21=$E$29, $F$29, CT21=$E$30, $F$30, CT21=$E$31, $F$31)</f>
        <v>0.25</v>
      </c>
      <c r="CV21">
        <f>1 - ((CU21-CS21)^2) + (1 *CS21)</f>
        <v>0.9375</v>
      </c>
      <c r="CW21" t="s">
        <v>182</v>
      </c>
      <c r="CX21">
        <v>1</v>
      </c>
      <c r="CY21">
        <v>6</v>
      </c>
      <c r="CZ21" cm="1">
        <f t="array" ref="CZ21">_xlfn.IFS(CY21=$E$25, $F$25, CY21=$E$26, $F$26, CY21=$E$27, $F$27, CY21=$E$28, $F$28, CY21=$E$29, $F$29, CY21=$E$30, $F$30, CY21=$E$31, $F$31)</f>
        <v>0.75</v>
      </c>
      <c r="DA21">
        <f>1 - ((CZ21-CX21)^2) + (1 *CX21)</f>
        <v>1.9375</v>
      </c>
    </row>
    <row r="22" spans="1:105">
      <c r="A22" s="3">
        <v>45995.688460648147</v>
      </c>
      <c r="B22">
        <v>12</v>
      </c>
      <c r="C22" s="2">
        <f>ROUND(SUMIF($F$1:$CS$1, "Weighted Score", $F22:$CS22),2)</f>
        <v>25.12</v>
      </c>
      <c r="D22" t="s">
        <v>183</v>
      </c>
      <c r="E22" t="s">
        <v>184</v>
      </c>
      <c r="F22" t="s">
        <v>76</v>
      </c>
      <c r="G22">
        <v>0</v>
      </c>
      <c r="H22">
        <v>7</v>
      </c>
      <c r="I22" cm="1">
        <f t="array" ref="I22">_xlfn.IFS(H22=$E$25, $F$25, H22=$E$26, $F$26, H22=$E$27, $F$27, H22=$E$28, $F$28, H22=$E$29, $F$29, H22=$E$30, $F$30, H22=$E$31, $F$31)</f>
        <v>0.9</v>
      </c>
      <c r="J22">
        <f>1 - ((I22-G22)^2) + (1 *G22)</f>
        <v>0.18999999999999995</v>
      </c>
      <c r="K22" t="s">
        <v>51</v>
      </c>
      <c r="L22">
        <v>1</v>
      </c>
      <c r="M22">
        <v>7</v>
      </c>
      <c r="N22" cm="1">
        <f t="array" ref="N22">_xlfn.IFS(M22=$E$25, $F$25, M22=$E$26, $F$26, M22=$E$27, $F$27, M22=$E$28, $F$28, M22=$E$29, $F$29, M22=$E$30, $F$30, M22=$E$31, $F$31)</f>
        <v>0.9</v>
      </c>
      <c r="O22">
        <f>1 - ((N22-L22)^2) + (1 *L22)</f>
        <v>1.99</v>
      </c>
      <c r="P22">
        <v>1990</v>
      </c>
      <c r="Q22">
        <v>0</v>
      </c>
      <c r="R22">
        <v>4</v>
      </c>
      <c r="S22" cm="1">
        <f t="array" ref="S22">_xlfn.IFS(R22=$E$25, $F$25, R22=$E$26, $F$26, R22=$E$27, $F$27, R22=$E$28, $F$28, R22=$E$29, $F$29, R22=$E$30, $F$30, R22=$E$31, $F$31)</f>
        <v>0.5</v>
      </c>
      <c r="T22">
        <f>1 - ((S22-Q22)^2) + (1 *Q22)</f>
        <v>0.75</v>
      </c>
      <c r="U22" t="s">
        <v>185</v>
      </c>
      <c r="V22">
        <v>1</v>
      </c>
      <c r="W22">
        <v>7</v>
      </c>
      <c r="X22" cm="1">
        <f t="array" ref="X22">_xlfn.IFS(W22=$E$25, $F$25, W22=$E$26, $F$26, W22=$E$27, $F$27, W22=$E$28, $F$28, W22=$E$29, $F$29, W22=$E$30, $F$30, W22=$E$31, $F$31)</f>
        <v>0.9</v>
      </c>
      <c r="Y22">
        <f>1 - ((X22-V22)^2) + (1 *V22)</f>
        <v>1.99</v>
      </c>
      <c r="Z22" s="1">
        <v>0.05</v>
      </c>
      <c r="AA22">
        <v>1</v>
      </c>
      <c r="AB22">
        <v>4</v>
      </c>
      <c r="AC22" cm="1">
        <f t="array" ref="AC22">_xlfn.IFS(AB22=$E$25, $F$25, AB22=$E$26, $F$26, AB22=$E$27, $F$27, AB22=$E$28, $F$28, AB22=$E$29, $F$29, AB22=$E$30, $F$30, AB22=$E$31, $F$31)</f>
        <v>0.5</v>
      </c>
      <c r="AD22">
        <f>1 - ((AC22-AA22)^2) + (1 *AA22)</f>
        <v>1.75</v>
      </c>
      <c r="AE22" s="1">
        <v>0.25</v>
      </c>
      <c r="AF22">
        <v>0</v>
      </c>
      <c r="AG22">
        <v>4</v>
      </c>
      <c r="AH22" cm="1">
        <f t="array" ref="AH22">_xlfn.IFS(AG22=$E$25, $F$25, AG22=$E$26, $F$26, AG22=$E$27, $F$27, AG22=$E$28, $F$28, AG22=$E$29, $F$29, AG22=$E$30, $F$30, AG22=$E$31, $F$31)</f>
        <v>0.5</v>
      </c>
      <c r="AI22">
        <f>1 - ((AH22-AF22)^2) + (1 *AF22)</f>
        <v>0.75</v>
      </c>
      <c r="AJ22" t="s">
        <v>186</v>
      </c>
      <c r="AK22">
        <v>0</v>
      </c>
      <c r="AL22">
        <v>4</v>
      </c>
      <c r="AM22" cm="1">
        <f t="array" ref="AM22">_xlfn.IFS(AL22=$E$25, $F$25, AL22=$E$26, $F$26, AL22=$E$27, $F$27, AL22=$E$28, $F$28, AL22=$E$29, $F$29, AL22=$E$30, $F$30, AL22=$E$31, $F$31)</f>
        <v>0.5</v>
      </c>
      <c r="AN22">
        <f>1 - ((AM22-AK22)^2) + (1 *AK22)</f>
        <v>0.75</v>
      </c>
      <c r="AO22" t="s">
        <v>53</v>
      </c>
      <c r="AP22">
        <v>1</v>
      </c>
      <c r="AQ22">
        <v>7</v>
      </c>
      <c r="AR22" cm="1">
        <f t="array" ref="AR22">_xlfn.IFS(AQ22=$E$25, $F$25, AQ22=$E$26, $F$26, AQ22=$E$27, $F$27, AQ22=$E$28, $F$28, AQ22=$E$29, $F$29, AQ22=$E$30, $F$30, AQ22=$E$31, $F$31)</f>
        <v>0.9</v>
      </c>
      <c r="AS22">
        <f>1 - ((AR22-AP22)^2) + (1 *AP22)</f>
        <v>1.99</v>
      </c>
      <c r="AT22" t="s">
        <v>54</v>
      </c>
      <c r="AU22">
        <v>1</v>
      </c>
      <c r="AV22">
        <v>7</v>
      </c>
      <c r="AW22" cm="1">
        <f t="array" ref="AW22">_xlfn.IFS(AV22=$E$25, $F$25, AV22=$E$26, $F$26, AV22=$E$27, $F$27, AV22=$E$28, $F$28, AV22=$E$29, $F$29, AV22=$E$30, $F$30, AV22=$E$31, $F$31)</f>
        <v>0.9</v>
      </c>
      <c r="AX22">
        <f>1 - ((AW22-AU22)^2) + (1 *AU22)</f>
        <v>1.99</v>
      </c>
      <c r="AY22" t="s">
        <v>68</v>
      </c>
      <c r="AZ22">
        <v>1</v>
      </c>
      <c r="BA22">
        <v>7</v>
      </c>
      <c r="BB22" cm="1">
        <f t="array" ref="BB22">_xlfn.IFS(BA22=$E$25, $F$25, BA22=$E$26, $F$26, BA22=$E$27, $F$27, BA22=$E$28, $F$28, BA22=$E$29, $F$29, BA22=$E$30, $F$30, BA22=$E$31, $F$31)</f>
        <v>0.9</v>
      </c>
      <c r="BC22">
        <f>1 - ((BB22-AZ22)^2) + (1 *AZ22)</f>
        <v>1.99</v>
      </c>
      <c r="BD22" t="s">
        <v>187</v>
      </c>
      <c r="BE22">
        <v>0</v>
      </c>
      <c r="BF22">
        <v>5</v>
      </c>
      <c r="BG22" cm="1">
        <f t="array" ref="BG22">_xlfn.IFS(BF22=$E$25, $F$25, BF22=$E$26, $F$26, BF22=$E$27, $F$27, BF22=$E$28, $F$28, BF22=$E$29, $F$29, BF22=$E$30, $F$30, BF22=$E$31, $F$31)</f>
        <v>0.6</v>
      </c>
      <c r="BH22">
        <f>1 - ((BG22-BE22)^2) + (1 *BE22)</f>
        <v>0.64</v>
      </c>
      <c r="BI22" t="s">
        <v>188</v>
      </c>
      <c r="BJ22">
        <v>0</v>
      </c>
      <c r="BK22">
        <v>6</v>
      </c>
      <c r="BL22" cm="1">
        <f t="array" ref="BL22">_xlfn.IFS(BK22=$E$25, $F$25, BK22=$E$26, $F$26, BK22=$E$27, $F$27, BK22=$E$28, $F$28, BK22=$E$29, $F$29, BK22=$E$30, $F$30, BK22=$E$31, $F$31)</f>
        <v>0.75</v>
      </c>
      <c r="BM22">
        <f>1 - ((BL22-BJ22)^2) + (1 *BJ22)</f>
        <v>0.4375</v>
      </c>
      <c r="BN22" t="s">
        <v>88</v>
      </c>
      <c r="BO22">
        <v>1</v>
      </c>
      <c r="BP22">
        <v>7</v>
      </c>
      <c r="BQ22" cm="1">
        <f t="array" ref="BQ22">_xlfn.IFS(BP22=$E$25, $F$25, BP22=$E$26, $F$26, BP22=$E$27, $F$27, BP22=$E$28, $F$28, BP22=$E$29, $F$29, BP22=$E$30, $F$30, BP22=$E$31, $F$31)</f>
        <v>0.9</v>
      </c>
      <c r="BR22">
        <f>1 - ((BQ22-BO22)^2) + (1 *BO22)</f>
        <v>1.99</v>
      </c>
      <c r="BS22" t="s">
        <v>71</v>
      </c>
      <c r="BT22">
        <v>1</v>
      </c>
      <c r="BU22">
        <v>7</v>
      </c>
      <c r="BV22" cm="1">
        <f t="array" ref="BV22">_xlfn.IFS(BU22=$E$25, $F$25, BU22=$E$26, $F$26, BU22=$E$27, $F$27, BU22=$E$28, $F$28, BU22=$E$29, $F$29, BU22=$E$30, $F$30, BU22=$E$31, $F$31)</f>
        <v>0.9</v>
      </c>
      <c r="BW22">
        <f>1 - ((BV22-BT22)^2) + (1 *BT22)</f>
        <v>1.99</v>
      </c>
      <c r="BX22" t="s">
        <v>60</v>
      </c>
      <c r="BY22">
        <v>1</v>
      </c>
      <c r="BZ22">
        <v>7</v>
      </c>
      <c r="CA22" cm="1">
        <f t="array" ref="CA22">_xlfn.IFS(BZ22=$E$25, $F$25, BZ22=$E$26, $F$26, BZ22=$E$27, $F$27, BZ22=$E$28, $F$28, BZ22=$E$29, $F$29, BZ22=$E$30, $F$30, BZ22=$E$31, $F$31)</f>
        <v>0.9</v>
      </c>
      <c r="CB22">
        <f>1 - ((CA22-BY22)^2) + (1 *BY22)</f>
        <v>1.99</v>
      </c>
      <c r="CC22" t="s">
        <v>61</v>
      </c>
      <c r="CD22">
        <v>1</v>
      </c>
      <c r="CE22">
        <v>7</v>
      </c>
      <c r="CF22" cm="1">
        <f t="array" ref="CF22">_xlfn.IFS(CE22=$E$25, $F$25, CE22=$E$26, $F$26, CE22=$E$27, $F$27, CE22=$E$28, $F$28, CE22=$E$29, $F$29, CE22=$E$30, $F$30, CE22=$E$31, $F$31)</f>
        <v>0.9</v>
      </c>
      <c r="CG22">
        <f>1 - ((CF22-CD22)^2) + (1 *CD22)</f>
        <v>1.99</v>
      </c>
      <c r="CH22">
        <v>1997</v>
      </c>
      <c r="CI22">
        <v>0</v>
      </c>
      <c r="CJ22">
        <v>7</v>
      </c>
      <c r="CK22" cm="1">
        <f t="array" ref="CK22">_xlfn.IFS(CJ22=$E$25, $F$25, CJ22=$E$26, $F$26, CJ22=$E$27, $F$27, CJ22=$E$28, $F$28, CJ22=$E$29, $F$29, CJ22=$E$30, $F$30, CJ22=$E$31, $F$31)</f>
        <v>0.9</v>
      </c>
      <c r="CL22">
        <f>1 - ((CK22-CI22)^2) + (1 *CI22)</f>
        <v>0.18999999999999995</v>
      </c>
      <c r="CM22" t="s">
        <v>134</v>
      </c>
      <c r="CN22">
        <v>1</v>
      </c>
      <c r="CO22">
        <v>4</v>
      </c>
      <c r="CP22" cm="1">
        <f t="array" ref="CP22">_xlfn.IFS(CO22=$E$25, $F$25, CO22=$E$26, $F$26, CO22=$E$27, $F$27, CO22=$E$28, $F$28, CO22=$E$29, $F$29, CO22=$E$30, $F$30, CO22=$E$31, $F$31)</f>
        <v>0.5</v>
      </c>
      <c r="CQ22">
        <f>1 - ((CP22-CN22)^2) + (1 *CN22)</f>
        <v>1.75</v>
      </c>
      <c r="CR22">
        <v>8</v>
      </c>
      <c r="CS22">
        <v>0</v>
      </c>
      <c r="CT22">
        <v>4</v>
      </c>
      <c r="CU22" cm="1">
        <f t="array" ref="CU22">_xlfn.IFS(CT22=$E$25, $F$25, CT22=$E$26, $F$26, CT22=$E$27, $F$27, CT22=$E$28, $F$28, CT22=$E$29, $F$29, CT22=$E$30, $F$30, CT22=$E$31, $F$31)</f>
        <v>0.5</v>
      </c>
      <c r="CV22">
        <f>1 - ((CU22-CS22)^2) + (1 *CS22)</f>
        <v>0.75</v>
      </c>
      <c r="CW22" t="s">
        <v>189</v>
      </c>
      <c r="CX22">
        <v>1</v>
      </c>
      <c r="CY22">
        <v>7</v>
      </c>
      <c r="CZ22" cm="1">
        <f t="array" ref="CZ22">_xlfn.IFS(CY22=$E$25, $F$25, CY22=$E$26, $F$26, CY22=$E$27, $F$27, CY22=$E$28, $F$28, CY22=$E$29, $F$29, CY22=$E$30, $F$30, CY22=$E$31, $F$31)</f>
        <v>0.9</v>
      </c>
      <c r="DA22">
        <f>1 - ((CZ22-CX22)^2) + (1 *CX22)</f>
        <v>1.99</v>
      </c>
    </row>
    <row r="23" spans="1:105">
      <c r="C23" s="2"/>
    </row>
    <row r="24" spans="1:105">
      <c r="A24" t="s">
        <v>190</v>
      </c>
      <c r="B24" s="2">
        <f>ROUND(AVERAGE(B2:B22),2)</f>
        <v>11.1</v>
      </c>
      <c r="C24" s="2">
        <f>ROUND(AVERAGE(C2:C22),2)</f>
        <v>25.21</v>
      </c>
      <c r="E24" t="s">
        <v>191</v>
      </c>
      <c r="F24" t="s">
        <v>192</v>
      </c>
      <c r="G24" t="s">
        <v>193</v>
      </c>
      <c r="H24" t="s">
        <v>194</v>
      </c>
    </row>
    <row r="25" spans="1:105">
      <c r="A25" t="s">
        <v>195</v>
      </c>
      <c r="B25">
        <f>ROUND(_xlfn.STDEV.P(B2:B22),2)</f>
        <v>2.88</v>
      </c>
      <c r="C25">
        <f>ROUND(_xlfn.STDEV.P(C2:C22),2)</f>
        <v>2.81</v>
      </c>
      <c r="E25" s="5">
        <v>1</v>
      </c>
      <c r="F25" s="4">
        <v>0.1</v>
      </c>
      <c r="G25" s="2">
        <f>ROUND(1 - ((F25-1)^2) + (1 * 1), 2)</f>
        <v>1.19</v>
      </c>
      <c r="H25" s="2">
        <f>ROUND(1 - ((F25-0)^2) + (0.9 * 0), 2)</f>
        <v>0.99</v>
      </c>
    </row>
    <row r="26" spans="1:105">
      <c r="A26" t="s">
        <v>196</v>
      </c>
      <c r="B26">
        <f>MAX(B2:B22)</f>
        <v>17</v>
      </c>
      <c r="C26" s="2">
        <f>MAX(C2:C22)</f>
        <v>31.96</v>
      </c>
      <c r="E26" s="5">
        <v>2</v>
      </c>
      <c r="F26" s="4">
        <v>0.25</v>
      </c>
      <c r="G26">
        <f>ROUND(1 - ((F26-1)^2) + (1 * 1), 2)</f>
        <v>1.44</v>
      </c>
      <c r="H26">
        <f>ROUND(1 - ((F26-0)^2) + (0.9 * 0), 2)</f>
        <v>0.94</v>
      </c>
    </row>
    <row r="27" spans="1:105">
      <c r="A27" t="s">
        <v>197</v>
      </c>
      <c r="B27">
        <f>MIN(B2:B22)</f>
        <v>4</v>
      </c>
      <c r="C27">
        <f>MIN(C2:C22)</f>
        <v>18.62</v>
      </c>
      <c r="E27" s="5">
        <v>3</v>
      </c>
      <c r="F27" s="4">
        <v>0.4</v>
      </c>
      <c r="G27">
        <f>ROUND(1 - ((F27-1)^2) + (1 * 1), 2)</f>
        <v>1.64</v>
      </c>
      <c r="H27">
        <f>ROUND(1 - ((F27-0)^2) + (0.9 * 0), 2)</f>
        <v>0.84</v>
      </c>
    </row>
    <row r="28" spans="1:105">
      <c r="E28" s="5">
        <v>4</v>
      </c>
      <c r="F28" s="4">
        <v>0.5</v>
      </c>
      <c r="G28">
        <f>ROUND(1 - ((F28-1)^2) + (1 * 1), 2)</f>
        <v>1.75</v>
      </c>
      <c r="H28">
        <f>ROUND(1 - ((F28-0)^2) + (0.9 * 0), 2)</f>
        <v>0.75</v>
      </c>
    </row>
    <row r="29" spans="1:105">
      <c r="E29" s="5">
        <v>5</v>
      </c>
      <c r="F29" s="4">
        <v>0.6</v>
      </c>
      <c r="G29">
        <f>ROUND(1 - ((F29-1)^2) + (1 * 1), 2)</f>
        <v>1.84</v>
      </c>
      <c r="H29">
        <f>ROUND(1 - ((F29-0)^2) + (0.9 * 0), 2)</f>
        <v>0.64</v>
      </c>
    </row>
    <row r="30" spans="1:105">
      <c r="E30" s="5">
        <v>6</v>
      </c>
      <c r="F30" s="4">
        <v>0.75</v>
      </c>
      <c r="G30">
        <f>ROUND(1 - ((F30-1)^2) + (1 * 1), 2)</f>
        <v>1.94</v>
      </c>
      <c r="H30">
        <f>ROUND(1 - ((F30-0)^2) + (0.9 * 0), 2)</f>
        <v>0.44</v>
      </c>
    </row>
    <row r="31" spans="1:105">
      <c r="E31" s="5">
        <v>7</v>
      </c>
      <c r="F31" s="4">
        <v>0.9</v>
      </c>
      <c r="G31">
        <f>ROUND(1 - ((F31-1)^2) + (1 * 1), 2)</f>
        <v>1.99</v>
      </c>
      <c r="H31">
        <f>ROUND(1 - ((F31-0)^2) + (0.9 * 0), 2)</f>
        <v>0.19</v>
      </c>
    </row>
    <row r="33" spans="7:7">
      <c r="G33" t="s">
        <v>198</v>
      </c>
    </row>
    <row r="34" spans="7:7">
      <c r="G34" t="s">
        <v>199</v>
      </c>
    </row>
    <row r="35" spans="7:7">
      <c r="G35" t="s">
        <v>200</v>
      </c>
    </row>
    <row r="39" spans="7:7">
      <c r="G3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F1F6-727B-4418-9186-EBE9C5D7F7BF}">
  <dimension ref="A1:DA31"/>
  <sheetViews>
    <sheetView workbookViewId="0">
      <selection activeCell="H24" sqref="H24"/>
    </sheetView>
  </sheetViews>
  <sheetFormatPr defaultRowHeight="14.45"/>
  <cols>
    <col min="1" max="1" width="15.28515625" bestFit="1" customWidth="1"/>
    <col min="2" max="2" width="9.7109375" bestFit="1" customWidth="1"/>
    <col min="3" max="3" width="18" bestFit="1" customWidth="1"/>
    <col min="4" max="4" width="18.7109375" customWidth="1"/>
    <col min="5" max="5" width="16.28515625" bestFit="1" customWidth="1"/>
    <col min="6" max="6" width="9.140625" customWidth="1"/>
    <col min="7" max="7" width="9.140625" bestFit="1" customWidth="1"/>
    <col min="8" max="8" width="8.7109375" bestFit="1" customWidth="1"/>
    <col min="10" max="10" width="9.140625" bestFit="1" customWidth="1"/>
    <col min="12" max="12" width="8.7109375" bestFit="1" customWidth="1"/>
    <col min="15" max="15" width="9.140625" bestFit="1" customWidth="1"/>
    <col min="16" max="16" width="8.7109375" bestFit="1" customWidth="1"/>
    <col min="20" max="20" width="9.28515625" bestFit="1" customWidth="1"/>
    <col min="24" max="24" width="8.7109375" bestFit="1" customWidth="1"/>
    <col min="25" max="25" width="9.140625" bestFit="1" customWidth="1"/>
    <col min="28" max="28" width="8.7109375" bestFit="1" customWidth="1"/>
    <col min="30" max="30" width="9.140625" bestFit="1" customWidth="1"/>
    <col min="32" max="32" width="8.7109375" bestFit="1" customWidth="1"/>
    <col min="35" max="35" width="9.140625" bestFit="1" customWidth="1"/>
    <col min="36" max="36" width="8.7109375" bestFit="1" customWidth="1"/>
    <col min="40" max="40" width="9.28515625" bestFit="1" customWidth="1"/>
    <col min="44" max="44" width="8.7109375" bestFit="1" customWidth="1"/>
    <col min="45" max="45" width="9.140625" bestFit="1" customWidth="1"/>
    <col min="48" max="48" width="8.7109375" bestFit="1" customWidth="1"/>
    <col min="50" max="50" width="9.140625" bestFit="1" customWidth="1"/>
    <col min="52" max="52" width="8.7109375" bestFit="1" customWidth="1"/>
    <col min="55" max="55" width="9.140625" bestFit="1" customWidth="1"/>
    <col min="56" max="56" width="8.7109375" bestFit="1" customWidth="1"/>
    <col min="60" max="60" width="9.28515625" bestFit="1" customWidth="1"/>
    <col min="64" max="64" width="8.7109375" bestFit="1" customWidth="1"/>
    <col min="65" max="65" width="9.140625" bestFit="1" customWidth="1"/>
    <col min="68" max="68" width="8.7109375" bestFit="1" customWidth="1"/>
    <col min="70" max="70" width="9.140625" bestFit="1" customWidth="1"/>
    <col min="72" max="72" width="8.7109375" bestFit="1" customWidth="1"/>
    <col min="75" max="75" width="9.140625" bestFit="1" customWidth="1"/>
    <col min="76" max="76" width="8.7109375" bestFit="1" customWidth="1"/>
    <col min="80" max="80" width="9.28515625" bestFit="1" customWidth="1"/>
    <col min="84" max="84" width="8.7109375" bestFit="1" customWidth="1"/>
    <col min="85" max="85" width="9.140625" bestFit="1" customWidth="1"/>
    <col min="90" max="90" width="9.140625" bestFit="1" customWidth="1"/>
    <col min="95" max="95" width="9.140625" bestFit="1" customWidth="1"/>
    <col min="100" max="100" width="9.140625" bestFit="1" customWidth="1"/>
    <col min="105" max="106" width="9.140625" bestFit="1" customWidth="1"/>
  </cols>
  <sheetData>
    <row r="1" spans="1:10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201</v>
      </c>
      <c r="K1" t="s">
        <v>10</v>
      </c>
      <c r="L1" t="s">
        <v>11</v>
      </c>
      <c r="M1" t="s">
        <v>7</v>
      </c>
      <c r="N1" t="s">
        <v>8</v>
      </c>
      <c r="O1" t="s">
        <v>201</v>
      </c>
      <c r="P1" t="s">
        <v>12</v>
      </c>
      <c r="Q1" t="s">
        <v>13</v>
      </c>
      <c r="R1" t="s">
        <v>7</v>
      </c>
      <c r="S1" t="s">
        <v>8</v>
      </c>
      <c r="T1" t="s">
        <v>201</v>
      </c>
      <c r="U1" t="s">
        <v>14</v>
      </c>
      <c r="V1" t="s">
        <v>15</v>
      </c>
      <c r="W1" t="s">
        <v>7</v>
      </c>
      <c r="X1" t="s">
        <v>8</v>
      </c>
      <c r="Y1" t="s">
        <v>201</v>
      </c>
      <c r="Z1" t="s">
        <v>16</v>
      </c>
      <c r="AA1" t="s">
        <v>17</v>
      </c>
      <c r="AB1" t="s">
        <v>7</v>
      </c>
      <c r="AC1" t="s">
        <v>8</v>
      </c>
      <c r="AD1" t="s">
        <v>201</v>
      </c>
      <c r="AE1" t="s">
        <v>18</v>
      </c>
      <c r="AF1" t="s">
        <v>19</v>
      </c>
      <c r="AG1" t="s">
        <v>7</v>
      </c>
      <c r="AH1" t="s">
        <v>8</v>
      </c>
      <c r="AI1" t="s">
        <v>201</v>
      </c>
      <c r="AJ1" t="s">
        <v>20</v>
      </c>
      <c r="AK1" t="s">
        <v>21</v>
      </c>
      <c r="AL1" t="s">
        <v>7</v>
      </c>
      <c r="AM1" t="s">
        <v>8</v>
      </c>
      <c r="AN1" t="s">
        <v>201</v>
      </c>
      <c r="AO1" t="s">
        <v>22</v>
      </c>
      <c r="AP1" t="s">
        <v>23</v>
      </c>
      <c r="AQ1" t="s">
        <v>7</v>
      </c>
      <c r="AR1" t="s">
        <v>8</v>
      </c>
      <c r="AS1" t="s">
        <v>201</v>
      </c>
      <c r="AT1" t="s">
        <v>24</v>
      </c>
      <c r="AU1" t="s">
        <v>25</v>
      </c>
      <c r="AV1" t="s">
        <v>7</v>
      </c>
      <c r="AW1" t="s">
        <v>8</v>
      </c>
      <c r="AX1" t="s">
        <v>201</v>
      </c>
      <c r="AY1" t="s">
        <v>26</v>
      </c>
      <c r="AZ1" t="s">
        <v>27</v>
      </c>
      <c r="BA1" t="s">
        <v>7</v>
      </c>
      <c r="BB1" t="s">
        <v>8</v>
      </c>
      <c r="BC1" t="s">
        <v>201</v>
      </c>
      <c r="BD1" t="s">
        <v>28</v>
      </c>
      <c r="BE1" t="s">
        <v>29</v>
      </c>
      <c r="BF1" t="s">
        <v>7</v>
      </c>
      <c r="BG1" t="s">
        <v>8</v>
      </c>
      <c r="BH1" t="s">
        <v>201</v>
      </c>
      <c r="BI1" t="s">
        <v>30</v>
      </c>
      <c r="BJ1" t="s">
        <v>31</v>
      </c>
      <c r="BK1" t="s">
        <v>7</v>
      </c>
      <c r="BL1" t="s">
        <v>8</v>
      </c>
      <c r="BM1" t="s">
        <v>201</v>
      </c>
      <c r="BN1" t="s">
        <v>32</v>
      </c>
      <c r="BO1" t="s">
        <v>33</v>
      </c>
      <c r="BP1" t="s">
        <v>7</v>
      </c>
      <c r="BQ1" t="s">
        <v>8</v>
      </c>
      <c r="BR1" t="s">
        <v>9</v>
      </c>
      <c r="BS1" t="s">
        <v>34</v>
      </c>
      <c r="BT1" t="s">
        <v>35</v>
      </c>
      <c r="BU1" t="s">
        <v>7</v>
      </c>
      <c r="BV1" t="s">
        <v>8</v>
      </c>
      <c r="BW1" t="s">
        <v>9</v>
      </c>
      <c r="BX1" t="s">
        <v>36</v>
      </c>
      <c r="BY1" t="s">
        <v>37</v>
      </c>
      <c r="BZ1" t="s">
        <v>7</v>
      </c>
      <c r="CA1" t="s">
        <v>8</v>
      </c>
      <c r="CB1" t="s">
        <v>9</v>
      </c>
      <c r="CC1" t="s">
        <v>38</v>
      </c>
      <c r="CD1" t="s">
        <v>39</v>
      </c>
      <c r="CE1" t="s">
        <v>7</v>
      </c>
      <c r="CF1" t="s">
        <v>8</v>
      </c>
      <c r="CG1" t="s">
        <v>9</v>
      </c>
      <c r="CH1" t="s">
        <v>40</v>
      </c>
      <c r="CI1" t="s">
        <v>41</v>
      </c>
      <c r="CJ1" t="s">
        <v>7</v>
      </c>
      <c r="CK1" t="s">
        <v>8</v>
      </c>
      <c r="CL1" t="s">
        <v>9</v>
      </c>
      <c r="CM1" t="s">
        <v>42</v>
      </c>
      <c r="CN1" t="s">
        <v>43</v>
      </c>
      <c r="CO1" t="s">
        <v>7</v>
      </c>
      <c r="CP1" t="s">
        <v>8</v>
      </c>
      <c r="CQ1" t="s">
        <v>9</v>
      </c>
      <c r="CR1" t="s">
        <v>44</v>
      </c>
      <c r="CS1" t="s">
        <v>45</v>
      </c>
      <c r="CT1" t="s">
        <v>7</v>
      </c>
      <c r="CU1" t="s">
        <v>8</v>
      </c>
      <c r="CV1" t="s">
        <v>9</v>
      </c>
      <c r="CW1" t="s">
        <v>46</v>
      </c>
      <c r="CX1" t="s">
        <v>47</v>
      </c>
      <c r="CY1" t="s">
        <v>7</v>
      </c>
      <c r="CZ1" t="s">
        <v>8</v>
      </c>
      <c r="DA1" t="s">
        <v>9</v>
      </c>
    </row>
    <row r="2" spans="1:105">
      <c r="A2" s="3">
        <v>45985.435312499998</v>
      </c>
      <c r="B2">
        <v>12</v>
      </c>
      <c r="C2" s="2">
        <f>ROUND(SUMIF($F$1:$CS$1, "Weighted Score", $F2:$CS2),2)</f>
        <v>24.17</v>
      </c>
      <c r="D2" t="s">
        <v>202</v>
      </c>
      <c r="E2" t="s">
        <v>203</v>
      </c>
      <c r="F2" t="s">
        <v>50</v>
      </c>
      <c r="G2">
        <v>0</v>
      </c>
      <c r="H2">
        <v>4</v>
      </c>
      <c r="I2" cm="1">
        <f t="array" ref="I2">_xlfn.IFS(H2=$E$25, $F$25, H2=$E$26, $F$26, H2=$E$27, $F$27, H2=$E$28, $F$28, H2=$E$29, $F$29, H2=$E$30, $F$30, H2=$E$31, $F$31)</f>
        <v>0.5</v>
      </c>
      <c r="J2">
        <f>1 - ((I2-G2)^2) + (1 *G2)</f>
        <v>0.75</v>
      </c>
      <c r="K2" t="s">
        <v>172</v>
      </c>
      <c r="L2">
        <v>0</v>
      </c>
      <c r="M2">
        <v>4</v>
      </c>
      <c r="N2" cm="1">
        <f t="array" ref="N2">_xlfn.IFS(M2=$E$25, $F$25, M2=$E$26, $F$26, M2=$E$27, $F$27, M2=$E$28, $F$28, M2=$E$29, $F$29, M2=$E$30, $F$30, M2=$E$31, $F$31)</f>
        <v>0.5</v>
      </c>
      <c r="O2">
        <f>1 - ((N2-L2)^2) + (1 *L2)</f>
        <v>0.75</v>
      </c>
      <c r="P2">
        <v>1998</v>
      </c>
      <c r="Q2">
        <v>1</v>
      </c>
      <c r="R2">
        <v>4</v>
      </c>
      <c r="S2" cm="1">
        <f t="array" ref="S2">_xlfn.IFS(R2=$E$25, $F$25, R2=$E$26, $F$26, R2=$E$27, $F$27, R2=$E$28, $F$28, R2=$E$29, $F$29, R2=$E$30, $F$30, R2=$E$31, $F$31)</f>
        <v>0.5</v>
      </c>
      <c r="T2">
        <f>1 - ((S2-Q2)^2) + (1 *Q2)</f>
        <v>1.75</v>
      </c>
      <c r="U2">
        <v>18</v>
      </c>
      <c r="V2">
        <v>1</v>
      </c>
      <c r="W2">
        <v>4</v>
      </c>
      <c r="X2" cm="1">
        <f t="array" ref="X2">_xlfn.IFS(W2=$E$25, $F$25, W2=$E$26, $F$26, W2=$E$27, $F$27, W2=$E$28, $F$28, W2=$E$29, $F$29, W2=$E$30, $F$30, W2=$E$31, $F$31)</f>
        <v>0.5</v>
      </c>
      <c r="Y2">
        <f>1 - ((X2-V2)^2) + (1 *V2)</f>
        <v>1.75</v>
      </c>
      <c r="Z2" t="s">
        <v>204</v>
      </c>
      <c r="AA2">
        <v>1</v>
      </c>
      <c r="AB2">
        <v>4</v>
      </c>
      <c r="AC2" cm="1">
        <f t="array" ref="AC2">_xlfn.IFS(AB2=$E$25, $F$25, AB2=$E$26, $F$26, AB2=$E$27, $F$27, AB2=$E$28, $F$28, AB2=$E$29, $F$29, AB2=$E$30, $F$30, AB2=$E$31, $F$31)</f>
        <v>0.5</v>
      </c>
      <c r="AD2">
        <f>1 - ((AC2-AA2)^2) + (1 *AA2)</f>
        <v>1.75</v>
      </c>
      <c r="AE2" s="1">
        <v>0.25</v>
      </c>
      <c r="AF2">
        <v>0</v>
      </c>
      <c r="AG2">
        <v>2</v>
      </c>
      <c r="AH2" cm="1">
        <f t="array" ref="AH2">_xlfn.IFS(AG2=$E$25, $F$25, AG2=$E$26, $F$26, AG2=$E$27, $F$27, AG2=$E$28, $F$28, AG2=$E$29, $F$29, AG2=$E$30, $F$30, AG2=$E$31, $F$31)</f>
        <v>0.25</v>
      </c>
      <c r="AI2">
        <f>1 - ((AH2-AF2)^2) + (1 *AF2)</f>
        <v>0.9375</v>
      </c>
      <c r="AJ2" t="s">
        <v>52</v>
      </c>
      <c r="AK2">
        <v>1</v>
      </c>
      <c r="AL2">
        <v>3</v>
      </c>
      <c r="AM2" cm="1">
        <f t="array" ref="AM2">_xlfn.IFS(AL2=$E$25, $F$25, AL2=$E$26, $F$26, AL2=$E$27, $F$27, AL2=$E$28, $F$28, AL2=$E$29, $F$29, AL2=$E$30, $F$30, AL2=$E$31, $F$31)</f>
        <v>0.4</v>
      </c>
      <c r="AN2">
        <f>1 - ((AM2-AK2)^2) + (1 *AK2)</f>
        <v>1.6400000000000001</v>
      </c>
      <c r="AO2" t="s">
        <v>77</v>
      </c>
      <c r="AP2">
        <v>0</v>
      </c>
      <c r="AQ2">
        <v>3</v>
      </c>
      <c r="AR2" cm="1">
        <f t="array" ref="AR2">_xlfn.IFS(AQ2=$E$25, $F$25, AQ2=$E$26, $F$26, AQ2=$E$27, $F$27, AQ2=$E$28, $F$28, AQ2=$E$29, $F$29, AQ2=$E$30, $F$30, AQ2=$E$31, $F$31)</f>
        <v>0.4</v>
      </c>
      <c r="AS2">
        <f>1 - ((AR2-AP2)^2) + (1 *AP2)</f>
        <v>0.84</v>
      </c>
      <c r="AT2" t="s">
        <v>54</v>
      </c>
      <c r="AU2">
        <v>1</v>
      </c>
      <c r="AV2">
        <v>3</v>
      </c>
      <c r="AW2" cm="1">
        <f t="array" ref="AW2">_xlfn.IFS(AV2=$E$25, $F$25, AV2=$E$26, $F$26, AV2=$E$27, $F$27, AV2=$E$28, $F$28, AV2=$E$29, $F$29, AV2=$E$30, $F$30, AV2=$E$31, $F$31)</f>
        <v>0.4</v>
      </c>
      <c r="AX2">
        <f>1 - ((AW2-AU2)^2) + (1 *AU2)</f>
        <v>1.6400000000000001</v>
      </c>
      <c r="AY2" t="s">
        <v>68</v>
      </c>
      <c r="AZ2">
        <v>1</v>
      </c>
      <c r="BA2">
        <v>3</v>
      </c>
      <c r="BB2" cm="1">
        <f t="array" ref="BB2">_xlfn.IFS(BA2=$E$25, $F$25, BA2=$E$26, $F$26, BA2=$E$27, $F$27, BA2=$E$28, $F$28, BA2=$E$29, $F$29, BA2=$E$30, $F$30, BA2=$E$31, $F$31)</f>
        <v>0.4</v>
      </c>
      <c r="BC2">
        <f>1 - ((BB2-AZ2)^2) + (1 *AZ2)</f>
        <v>1.6400000000000001</v>
      </c>
      <c r="BD2" t="s">
        <v>205</v>
      </c>
      <c r="BE2">
        <v>0</v>
      </c>
      <c r="BF2">
        <v>3</v>
      </c>
      <c r="BG2" cm="1">
        <f t="array" ref="BG2">_xlfn.IFS(BF2=$E$25, $F$25, BF2=$E$26, $F$26, BF2=$E$27, $F$27, BF2=$E$28, $F$28, BF2=$E$29, $F$29, BF2=$E$30, $F$30, BF2=$E$31, $F$31)</f>
        <v>0.4</v>
      </c>
      <c r="BH2">
        <f>1 - ((BG2-BE2)^2) + (1 *BE2)</f>
        <v>0.84</v>
      </c>
      <c r="BI2" t="s">
        <v>206</v>
      </c>
      <c r="BJ2">
        <v>0</v>
      </c>
      <c r="BK2">
        <v>3</v>
      </c>
      <c r="BL2" cm="1">
        <f t="array" ref="BL2">_xlfn.IFS(BK2=$E$25, $F$25, BK2=$E$26, $F$26, BK2=$E$27, $F$27, BK2=$E$28, $F$28, BK2=$E$29, $F$29, BK2=$E$30, $F$30, BK2=$E$31, $F$31)</f>
        <v>0.4</v>
      </c>
      <c r="BM2">
        <f>1 - ((BL2-BJ2)^2) + (1 *BJ2)</f>
        <v>0.84</v>
      </c>
      <c r="BN2" t="s">
        <v>88</v>
      </c>
      <c r="BO2">
        <v>1</v>
      </c>
      <c r="BP2">
        <v>3</v>
      </c>
      <c r="BQ2" cm="1">
        <f t="array" ref="BQ2">_xlfn.IFS(BP2=$E$25, $F$25, BP2=$E$26, $F$26, BP2=$E$27, $F$27, BP2=$E$28, $F$28, BP2=$E$29, $F$29, BP2=$E$30, $F$30, BP2=$E$31, $F$31)</f>
        <v>0.4</v>
      </c>
      <c r="BR2">
        <f>1 - ((BQ2-BO2)^2) + (1 *BO2)</f>
        <v>1.6400000000000001</v>
      </c>
      <c r="BS2" t="s">
        <v>71</v>
      </c>
      <c r="BT2">
        <v>1</v>
      </c>
      <c r="BU2">
        <v>3</v>
      </c>
      <c r="BV2" cm="1">
        <f t="array" ref="BV2">_xlfn.IFS(BU2=$E$25, $F$25, BU2=$E$26, $F$26, BU2=$E$27, $F$27, BU2=$E$28, $F$28, BU2=$E$29, $F$29, BU2=$E$30, $F$30, BU2=$E$31, $F$31)</f>
        <v>0.4</v>
      </c>
      <c r="BW2">
        <f>1 - ((BV2-BT2)^2) + (1 *BT2)</f>
        <v>1.6400000000000001</v>
      </c>
      <c r="BX2" t="s">
        <v>60</v>
      </c>
      <c r="BY2">
        <v>1</v>
      </c>
      <c r="BZ2">
        <v>3</v>
      </c>
      <c r="CA2" cm="1">
        <f t="array" ref="CA2">_xlfn.IFS(BZ2=$E$25, $F$25, BZ2=$E$26, $F$26, BZ2=$E$27, $F$27, BZ2=$E$28, $F$28, BZ2=$E$29, $F$29, BZ2=$E$30, $F$30, BZ2=$E$31, $F$31)</f>
        <v>0.4</v>
      </c>
      <c r="CB2">
        <f>1 - ((CA2-BY2)^2) + (1 *BY2)</f>
        <v>1.6400000000000001</v>
      </c>
      <c r="CC2" t="s">
        <v>61</v>
      </c>
      <c r="CD2">
        <v>1</v>
      </c>
      <c r="CE2">
        <v>3</v>
      </c>
      <c r="CF2" cm="1">
        <f t="array" ref="CF2">_xlfn.IFS(CE2=$E$25, $F$25, CE2=$E$26, $F$26, CE2=$E$27, $F$27, CE2=$E$28, $F$28, CE2=$E$29, $F$29, CE2=$E$30, $F$30, CE2=$E$31, $F$31)</f>
        <v>0.4</v>
      </c>
      <c r="CG2">
        <f>1 - ((CF2-CD2)^2) + (1 *CD2)</f>
        <v>1.6400000000000001</v>
      </c>
      <c r="CH2">
        <v>1980</v>
      </c>
      <c r="CI2">
        <v>1</v>
      </c>
      <c r="CJ2">
        <v>3</v>
      </c>
      <c r="CK2" cm="1">
        <f t="array" ref="CK2">_xlfn.IFS(CJ2=$E$25, $F$25, CJ2=$E$26, $F$26, CJ2=$E$27, $F$27, CJ2=$E$28, $F$28, CJ2=$E$29, $F$29, CJ2=$E$30, $F$30, CJ2=$E$31, $F$31)</f>
        <v>0.4</v>
      </c>
      <c r="CL2">
        <f>1 - ((CK2-CI2)^2) + (1 *CI2)</f>
        <v>1.6400000000000001</v>
      </c>
      <c r="CM2" t="s">
        <v>159</v>
      </c>
      <c r="CN2">
        <v>0</v>
      </c>
      <c r="CO2">
        <v>3</v>
      </c>
      <c r="CP2" cm="1">
        <f t="array" ref="CP2">_xlfn.IFS(CO2=$E$25, $F$25, CO2=$E$26, $F$26, CO2=$E$27, $F$27, CO2=$E$28, $F$28, CO2=$E$29, $F$29, CO2=$E$30, $F$30, CO2=$E$31, $F$31)</f>
        <v>0.4</v>
      </c>
      <c r="CQ2">
        <f>1 - ((CP2-CN2)^2) + (1 *CN2)</f>
        <v>0.84</v>
      </c>
      <c r="CR2">
        <v>28</v>
      </c>
      <c r="CS2">
        <v>0</v>
      </c>
      <c r="CT2">
        <v>3</v>
      </c>
      <c r="CU2" cm="1">
        <f t="array" ref="CU2">_xlfn.IFS(CT2=$E$25, $F$25, CT2=$E$26, $F$26, CT2=$E$27, $F$27, CT2=$E$28, $F$28, CT2=$E$29, $F$29, CT2=$E$30, $F$30, CT2=$E$31, $F$31)</f>
        <v>0.4</v>
      </c>
      <c r="CV2">
        <f>1 - ((CU2-CS2)^2) + (1 *CS2)</f>
        <v>0.84</v>
      </c>
      <c r="CW2" t="s">
        <v>207</v>
      </c>
      <c r="CX2">
        <v>1</v>
      </c>
      <c r="CY2">
        <v>3</v>
      </c>
      <c r="CZ2" cm="1">
        <f t="array" ref="CZ2">_xlfn.IFS(CY2=$E$25, $F$25, CY2=$E$26, $F$26, CY2=$E$27, $F$27, CY2=$E$28, $F$28, CY2=$E$29, $F$29, CY2=$E$30, $F$30, CY2=$E$31, $F$31)</f>
        <v>0.4</v>
      </c>
      <c r="DA2">
        <f>1 - ((CZ2-CX2)^2) + (1 *CX2)</f>
        <v>1.6400000000000001</v>
      </c>
    </row>
    <row r="3" spans="1:105">
      <c r="A3" s="3">
        <v>45985.487372685187</v>
      </c>
      <c r="B3">
        <v>9</v>
      </c>
      <c r="C3" s="2">
        <f>ROUND(SUMIF($F$1:$CS$1, "Weighted Score", $F3:$CS3),2)</f>
        <v>23.63</v>
      </c>
      <c r="D3" t="s">
        <v>208</v>
      </c>
      <c r="E3" t="s">
        <v>209</v>
      </c>
      <c r="F3" t="s">
        <v>103</v>
      </c>
      <c r="G3">
        <v>0</v>
      </c>
      <c r="H3">
        <v>4</v>
      </c>
      <c r="I3" cm="1">
        <f t="array" ref="I3">_xlfn.IFS(H3=$E$25, $F$25, H3=$E$26, $F$26, H3=$E$27, $F$27, H3=$E$28, $F$28, H3=$E$29, $F$29, H3=$E$30, $F$30, H3=$E$31, $F$31)</f>
        <v>0.5</v>
      </c>
      <c r="J3">
        <f>1 - ((I3-G3)^2) + (1 *G3)</f>
        <v>0.75</v>
      </c>
      <c r="K3" t="s">
        <v>51</v>
      </c>
      <c r="L3">
        <v>1</v>
      </c>
      <c r="M3">
        <v>4</v>
      </c>
      <c r="N3" cm="1">
        <f t="array" ref="N3">_xlfn.IFS(M3=$E$25, $F$25, M3=$E$26, $F$26, M3=$E$27, $F$27, M3=$E$28, $F$28, M3=$E$29, $F$29, M3=$E$30, $F$30, M3=$E$31, $F$31)</f>
        <v>0.5</v>
      </c>
      <c r="O3">
        <f>1 - ((N3-L3)^2) + (1 *L3)</f>
        <v>1.75</v>
      </c>
      <c r="P3">
        <v>1989</v>
      </c>
      <c r="Q3">
        <v>0</v>
      </c>
      <c r="R3">
        <v>4</v>
      </c>
      <c r="S3" cm="1">
        <f t="array" ref="S3">_xlfn.IFS(R3=$E$25, $F$25, R3=$E$26, $F$26, R3=$E$27, $F$27, R3=$E$28, $F$28, R3=$E$29, $F$29, R3=$E$30, $F$30, R3=$E$31, $F$31)</f>
        <v>0.5</v>
      </c>
      <c r="T3">
        <f>1 - ((S3-Q3)^2) + (1 *Q3)</f>
        <v>0.75</v>
      </c>
      <c r="U3">
        <v>18</v>
      </c>
      <c r="V3">
        <v>1</v>
      </c>
      <c r="W3">
        <v>4</v>
      </c>
      <c r="X3" cm="1">
        <f t="array" ref="X3">_xlfn.IFS(W3=$E$25, $F$25, W3=$E$26, $F$26, W3=$E$27, $F$27, W3=$E$28, $F$28, W3=$E$29, $F$29, W3=$E$30, $F$30, W3=$E$31, $F$31)</f>
        <v>0.5</v>
      </c>
      <c r="Y3">
        <f>1 - ((X3-V3)^2) + (1 *V3)</f>
        <v>1.75</v>
      </c>
      <c r="Z3" s="1">
        <v>0.05</v>
      </c>
      <c r="AA3">
        <v>1</v>
      </c>
      <c r="AB3">
        <v>4</v>
      </c>
      <c r="AC3" cm="1">
        <f t="array" ref="AC3">_xlfn.IFS(AB3=$E$25, $F$25, AB3=$E$26, $F$26, AB3=$E$27, $F$27, AB3=$E$28, $F$28, AB3=$E$29, $F$29, AB3=$E$30, $F$30, AB3=$E$31, $F$31)</f>
        <v>0.5</v>
      </c>
      <c r="AD3">
        <f>1 - ((AC3-AA3)^2) + (1 *AA3)</f>
        <v>1.75</v>
      </c>
      <c r="AE3" s="1">
        <v>0.25</v>
      </c>
      <c r="AF3">
        <v>0</v>
      </c>
      <c r="AG3">
        <v>4</v>
      </c>
      <c r="AH3" cm="1">
        <f t="array" ref="AH3">_xlfn.IFS(AG3=$E$25, $F$25, AG3=$E$26, $F$26, AG3=$E$27, $F$27, AG3=$E$28, $F$28, AG3=$E$29, $F$29, AG3=$E$30, $F$30, AG3=$E$31, $F$31)</f>
        <v>0.5</v>
      </c>
      <c r="AI3">
        <f>1 - ((AH3-AF3)^2) + (1 *AF3)</f>
        <v>0.75</v>
      </c>
      <c r="AJ3" t="s">
        <v>52</v>
      </c>
      <c r="AK3">
        <v>1</v>
      </c>
      <c r="AL3">
        <v>4</v>
      </c>
      <c r="AM3" cm="1">
        <f t="array" ref="AM3">_xlfn.IFS(AL3=$E$25, $F$25, AL3=$E$26, $F$26, AL3=$E$27, $F$27, AL3=$E$28, $F$28, AL3=$E$29, $F$29, AL3=$E$30, $F$30, AL3=$E$31, $F$31)</f>
        <v>0.5</v>
      </c>
      <c r="AN3">
        <f>1 - ((AM3-AK3)^2) + (1 *AK3)</f>
        <v>1.75</v>
      </c>
      <c r="AO3" t="s">
        <v>67</v>
      </c>
      <c r="AP3">
        <v>0</v>
      </c>
      <c r="AQ3">
        <v>1</v>
      </c>
      <c r="AR3" cm="1">
        <f t="array" ref="AR3">_xlfn.IFS(AQ3=$E$25, $F$25, AQ3=$E$26, $F$26, AQ3=$E$27, $F$27, AQ3=$E$28, $F$28, AQ3=$E$29, $F$29, AQ3=$E$30, $F$30, AQ3=$E$31, $F$31)</f>
        <v>0.1</v>
      </c>
      <c r="AS3">
        <f>1 - ((AR3-AP3)^2) + (1 *AP3)</f>
        <v>0.99</v>
      </c>
      <c r="AT3" t="s">
        <v>54</v>
      </c>
      <c r="AU3">
        <v>1</v>
      </c>
      <c r="AV3">
        <v>3</v>
      </c>
      <c r="AW3" cm="1">
        <f t="array" ref="AW3">_xlfn.IFS(AV3=$E$25, $F$25, AV3=$E$26, $F$26, AV3=$E$27, $F$27, AV3=$E$28, $F$28, AV3=$E$29, $F$29, AV3=$E$30, $F$30, AV3=$E$31, $F$31)</f>
        <v>0.4</v>
      </c>
      <c r="AX3">
        <f>1 - ((AW3-AU3)^2) + (1 *AU3)</f>
        <v>1.6400000000000001</v>
      </c>
      <c r="AY3" t="s">
        <v>68</v>
      </c>
      <c r="AZ3">
        <v>1</v>
      </c>
      <c r="BA3">
        <v>6</v>
      </c>
      <c r="BB3" cm="1">
        <f t="array" ref="BB3">_xlfn.IFS(BA3=$E$25, $F$25, BA3=$E$26, $F$26, BA3=$E$27, $F$27, BA3=$E$28, $F$28, BA3=$E$29, $F$29, BA3=$E$30, $F$30, BA3=$E$31, $F$31)</f>
        <v>0.75</v>
      </c>
      <c r="BC3">
        <f>1 - ((BB3-AZ3)^2) + (1 *AZ3)</f>
        <v>1.9375</v>
      </c>
      <c r="BD3" t="s">
        <v>210</v>
      </c>
      <c r="BE3">
        <v>0</v>
      </c>
      <c r="BF3">
        <v>2</v>
      </c>
      <c r="BG3" cm="1">
        <f t="array" ref="BG3">_xlfn.IFS(BF3=$E$25, $F$25, BF3=$E$26, $F$26, BF3=$E$27, $F$27, BF3=$E$28, $F$28, BF3=$E$29, $F$29, BF3=$E$30, $F$30, BF3=$E$31, $F$31)</f>
        <v>0.25</v>
      </c>
      <c r="BH3">
        <f>1 - ((BG3-BE3)^2) + (1 *BE3)</f>
        <v>0.9375</v>
      </c>
      <c r="BI3" t="s">
        <v>210</v>
      </c>
      <c r="BJ3">
        <v>0</v>
      </c>
      <c r="BK3">
        <v>2</v>
      </c>
      <c r="BL3" cm="1">
        <f t="array" ref="BL3">_xlfn.IFS(BK3=$E$25, $F$25, BK3=$E$26, $F$26, BK3=$E$27, $F$27, BK3=$E$28, $F$28, BK3=$E$29, $F$29, BK3=$E$30, $F$30, BK3=$E$31, $F$31)</f>
        <v>0.25</v>
      </c>
      <c r="BM3">
        <f>1 - ((BL3-BJ3)^2) + (1 *BJ3)</f>
        <v>0.9375</v>
      </c>
      <c r="BN3" t="s">
        <v>88</v>
      </c>
      <c r="BO3">
        <v>1</v>
      </c>
      <c r="BP3">
        <v>2</v>
      </c>
      <c r="BQ3" cm="1">
        <f t="array" ref="BQ3">_xlfn.IFS(BP3=$E$25, $F$25, BP3=$E$26, $F$26, BP3=$E$27, $F$27, BP3=$E$28, $F$28, BP3=$E$29, $F$29, BP3=$E$30, $F$30, BP3=$E$31, $F$31)</f>
        <v>0.25</v>
      </c>
      <c r="BR3">
        <f>1 - ((BQ3-BO3)^2) + (1 *BO3)</f>
        <v>1.4375</v>
      </c>
      <c r="BS3" t="s">
        <v>81</v>
      </c>
      <c r="BT3">
        <v>0</v>
      </c>
      <c r="BU3">
        <v>2</v>
      </c>
      <c r="BV3" cm="1">
        <f t="array" ref="BV3">_xlfn.IFS(BU3=$E$25, $F$25, BU3=$E$26, $F$26, BU3=$E$27, $F$27, BU3=$E$28, $F$28, BU3=$E$29, $F$29, BU3=$E$30, $F$30, BU3=$E$31, $F$31)</f>
        <v>0.25</v>
      </c>
      <c r="BW3">
        <f>1 - ((BV3-BT3)^2) + (1 *BT3)</f>
        <v>0.9375</v>
      </c>
      <c r="BX3" t="s">
        <v>60</v>
      </c>
      <c r="BY3">
        <v>1</v>
      </c>
      <c r="BZ3">
        <v>4</v>
      </c>
      <c r="CA3" cm="1">
        <f t="array" ref="CA3">_xlfn.IFS(BZ3=$E$25, $F$25, BZ3=$E$26, $F$26, BZ3=$E$27, $F$27, BZ3=$E$28, $F$28, BZ3=$E$29, $F$29, BZ3=$E$30, $F$30, BZ3=$E$31, $F$31)</f>
        <v>0.5</v>
      </c>
      <c r="CB3">
        <f>1 - ((CA3-BY3)^2) + (1 *BY3)</f>
        <v>1.75</v>
      </c>
      <c r="CC3" t="s">
        <v>61</v>
      </c>
      <c r="CD3">
        <v>1</v>
      </c>
      <c r="CE3">
        <v>6</v>
      </c>
      <c r="CF3" cm="1">
        <f t="array" ref="CF3">_xlfn.IFS(CE3=$E$25, $F$25, CE3=$E$26, $F$26, CE3=$E$27, $F$27, CE3=$E$28, $F$28, CE3=$E$29, $F$29, CE3=$E$30, $F$30, CE3=$E$31, $F$31)</f>
        <v>0.75</v>
      </c>
      <c r="CG3">
        <f>1 - ((CF3-CD3)^2) + (1 *CD3)</f>
        <v>1.9375</v>
      </c>
      <c r="CH3">
        <v>2003</v>
      </c>
      <c r="CI3">
        <v>0</v>
      </c>
      <c r="CJ3">
        <v>2</v>
      </c>
      <c r="CK3" cm="1">
        <f t="array" ref="CK3">_xlfn.IFS(CJ3=$E$25, $F$25, CJ3=$E$26, $F$26, CJ3=$E$27, $F$27, CJ3=$E$28, $F$28, CJ3=$E$29, $F$29, CJ3=$E$30, $F$30, CJ3=$E$31, $F$31)</f>
        <v>0.25</v>
      </c>
      <c r="CL3">
        <f>1 - ((CK3-CI3)^2) + (1 *CI3)</f>
        <v>0.9375</v>
      </c>
      <c r="CM3" t="s">
        <v>99</v>
      </c>
      <c r="CN3">
        <v>0</v>
      </c>
      <c r="CO3">
        <v>2</v>
      </c>
      <c r="CP3" cm="1">
        <f t="array" ref="CP3">_xlfn.IFS(CO3=$E$25, $F$25, CO3=$E$26, $F$26, CO3=$E$27, $F$27, CO3=$E$28, $F$28, CO3=$E$29, $F$29, CO3=$E$30, $F$30, CO3=$E$31, $F$31)</f>
        <v>0.25</v>
      </c>
      <c r="CQ3">
        <f>1 - ((CP3-CN3)^2) + (1 *CN3)</f>
        <v>0.9375</v>
      </c>
      <c r="CR3">
        <v>25</v>
      </c>
      <c r="CS3">
        <v>0</v>
      </c>
      <c r="CT3">
        <v>1</v>
      </c>
      <c r="CU3" cm="1">
        <f t="array" ref="CU3">_xlfn.IFS(CT3=$E$25, $F$25, CT3=$E$26, $F$26, CT3=$E$27, $F$27, CT3=$E$28, $F$28, CT3=$E$29, $F$29, CT3=$E$30, $F$30, CT3=$E$31, $F$31)</f>
        <v>0.1</v>
      </c>
      <c r="CV3">
        <f>1 - ((CU3-CS3)^2) + (1 *CS3)</f>
        <v>0.99</v>
      </c>
      <c r="CW3" t="s">
        <v>211</v>
      </c>
      <c r="CX3">
        <v>0</v>
      </c>
      <c r="CY3">
        <v>2</v>
      </c>
      <c r="CZ3" cm="1">
        <f t="array" ref="CZ3">_xlfn.IFS(CY3=$E$25, $F$25, CY3=$E$26, $F$26, CY3=$E$27, $F$27, CY3=$E$28, $F$28, CY3=$E$29, $F$29, CY3=$E$30, $F$30, CY3=$E$31, $F$31)</f>
        <v>0.25</v>
      </c>
      <c r="DA3">
        <f>1 - ((CZ3-CX3)^2) + (1 *CX3)</f>
        <v>0.9375</v>
      </c>
    </row>
    <row r="4" spans="1:105">
      <c r="A4" s="3">
        <v>45985.620462962965</v>
      </c>
      <c r="B4">
        <v>9</v>
      </c>
      <c r="C4" s="2">
        <f>ROUND(SUMIF($F$1:$CS$1, "Weighted Score", $F4:$CS4),2)</f>
        <v>24.04</v>
      </c>
      <c r="D4" t="s">
        <v>212</v>
      </c>
      <c r="E4" t="s">
        <v>213</v>
      </c>
      <c r="F4" t="s">
        <v>103</v>
      </c>
      <c r="G4">
        <v>0</v>
      </c>
      <c r="H4">
        <v>7</v>
      </c>
      <c r="I4" cm="1">
        <f t="array" ref="I4">_xlfn.IFS(H4=$E$25, $F$25, H4=$E$26, $F$26, H4=$E$27, $F$27, H4=$E$28, $F$28, H4=$E$29, $F$29, H4=$E$30, $F$30, H4=$E$31, $F$31)</f>
        <v>0.9</v>
      </c>
      <c r="J4">
        <f>1 - ((I4-G4)^2) + (1 *G4)</f>
        <v>0.18999999999999995</v>
      </c>
      <c r="K4" t="s">
        <v>51</v>
      </c>
      <c r="L4">
        <v>1</v>
      </c>
      <c r="M4">
        <v>6</v>
      </c>
      <c r="N4" cm="1">
        <f t="array" ref="N4">_xlfn.IFS(M4=$E$25, $F$25, M4=$E$26, $F$26, M4=$E$27, $F$27, M4=$E$28, $F$28, M4=$E$29, $F$29, M4=$E$30, $F$30, M4=$E$31, $F$31)</f>
        <v>0.75</v>
      </c>
      <c r="O4">
        <f>1 - ((N4-L4)^2) + (1 *L4)</f>
        <v>1.9375</v>
      </c>
      <c r="P4" t="s">
        <v>131</v>
      </c>
      <c r="Q4">
        <v>0</v>
      </c>
      <c r="R4">
        <v>3</v>
      </c>
      <c r="S4" cm="1">
        <f t="array" ref="S4">_xlfn.IFS(R4=$E$25, $F$25, R4=$E$26, $F$26, R4=$E$27, $F$27, R4=$E$28, $F$28, R4=$E$29, $F$29, R4=$E$30, $F$30, R4=$E$31, $F$31)</f>
        <v>0.4</v>
      </c>
      <c r="T4">
        <f>1 - ((S4-Q4)^2) + (1 *Q4)</f>
        <v>0.84</v>
      </c>
      <c r="U4">
        <v>18</v>
      </c>
      <c r="V4">
        <v>1</v>
      </c>
      <c r="W4">
        <v>5</v>
      </c>
      <c r="X4" cm="1">
        <f t="array" ref="X4">_xlfn.IFS(W4=$E$25, $F$25, W4=$E$26, $F$26, W4=$E$27, $F$27, W4=$E$28, $F$28, W4=$E$29, $F$29, W4=$E$30, $F$30, W4=$E$31, $F$31)</f>
        <v>0.6</v>
      </c>
      <c r="Y4">
        <f>1 - ((X4-V4)^2) + (1 *V4)</f>
        <v>1.8399999999999999</v>
      </c>
      <c r="Z4">
        <v>30</v>
      </c>
      <c r="AA4">
        <v>0</v>
      </c>
      <c r="AB4">
        <v>1</v>
      </c>
      <c r="AC4" cm="1">
        <f t="array" ref="AC4">_xlfn.IFS(AB4=$E$25, $F$25, AB4=$E$26, $F$26, AB4=$E$27, $F$27, AB4=$E$28, $F$28, AB4=$E$29, $F$29, AB4=$E$30, $F$30, AB4=$E$31, $F$31)</f>
        <v>0.1</v>
      </c>
      <c r="AD4">
        <f>1 - ((AC4-AA4)^2) + (1 *AA4)</f>
        <v>0.99</v>
      </c>
      <c r="AE4" s="1">
        <v>0.25</v>
      </c>
      <c r="AF4">
        <v>0</v>
      </c>
      <c r="AG4">
        <v>4</v>
      </c>
      <c r="AH4" cm="1">
        <f t="array" ref="AH4">_xlfn.IFS(AG4=$E$25, $F$25, AG4=$E$26, $F$26, AG4=$E$27, $F$27, AG4=$E$28, $F$28, AG4=$E$29, $F$29, AG4=$E$30, $F$30, AG4=$E$31, $F$31)</f>
        <v>0.5</v>
      </c>
      <c r="AI4">
        <f>1 - ((AH4-AF4)^2) + (1 *AF4)</f>
        <v>0.75</v>
      </c>
      <c r="AJ4" t="s">
        <v>52</v>
      </c>
      <c r="AK4">
        <v>1</v>
      </c>
      <c r="AL4">
        <v>5</v>
      </c>
      <c r="AM4" cm="1">
        <f t="array" ref="AM4">_xlfn.IFS(AL4=$E$25, $F$25, AL4=$E$26, $F$26, AL4=$E$27, $F$27, AL4=$E$28, $F$28, AL4=$E$29, $F$29, AL4=$E$30, $F$30, AL4=$E$31, $F$31)</f>
        <v>0.6</v>
      </c>
      <c r="AN4">
        <f>1 - ((AM4-AK4)^2) + (1 *AK4)</f>
        <v>1.8399999999999999</v>
      </c>
      <c r="AO4" t="s">
        <v>53</v>
      </c>
      <c r="AP4">
        <v>1</v>
      </c>
      <c r="AQ4">
        <v>5</v>
      </c>
      <c r="AR4" cm="1">
        <f t="array" ref="AR4">_xlfn.IFS(AQ4=$E$25, $F$25, AQ4=$E$26, $F$26, AQ4=$E$27, $F$27, AQ4=$E$28, $F$28, AQ4=$E$29, $F$29, AQ4=$E$30, $F$30, AQ4=$E$31, $F$31)</f>
        <v>0.6</v>
      </c>
      <c r="AS4">
        <f>1 - ((AR4-AP4)^2) + (1 *AP4)</f>
        <v>1.8399999999999999</v>
      </c>
      <c r="AT4" t="s">
        <v>78</v>
      </c>
      <c r="AU4">
        <v>0</v>
      </c>
      <c r="AV4">
        <v>4</v>
      </c>
      <c r="AW4" cm="1">
        <f t="array" ref="AW4">_xlfn.IFS(AV4=$E$25, $F$25, AV4=$E$26, $F$26, AV4=$E$27, $F$27, AV4=$E$28, $F$28, AV4=$E$29, $F$29, AV4=$E$30, $F$30, AV4=$E$31, $F$31)</f>
        <v>0.5</v>
      </c>
      <c r="AX4">
        <f>1 - ((AW4-AU4)^2) + (1 *AU4)</f>
        <v>0.75</v>
      </c>
      <c r="AY4" t="s">
        <v>55</v>
      </c>
      <c r="AZ4">
        <v>0</v>
      </c>
      <c r="BA4">
        <v>5</v>
      </c>
      <c r="BB4" cm="1">
        <f t="array" ref="BB4">_xlfn.IFS(BA4=$E$25, $F$25, BA4=$E$26, $F$26, BA4=$E$27, $F$27, BA4=$E$28, $F$28, BA4=$E$29, $F$29, BA4=$E$30, $F$30, BA4=$E$31, $F$31)</f>
        <v>0.6</v>
      </c>
      <c r="BC4">
        <f>1 - ((BB4-AZ4)^2) + (1 *AZ4)</f>
        <v>0.64</v>
      </c>
      <c r="BD4">
        <v>1978</v>
      </c>
      <c r="BE4">
        <v>0</v>
      </c>
      <c r="BF4">
        <v>1</v>
      </c>
      <c r="BG4" cm="1">
        <f t="array" ref="BG4">_xlfn.IFS(BF4=$E$25, $F$25, BF4=$E$26, $F$26, BF4=$E$27, $F$27, BF4=$E$28, $F$28, BF4=$E$29, $F$29, BF4=$E$30, $F$30, BF4=$E$31, $F$31)</f>
        <v>0.1</v>
      </c>
      <c r="BH4">
        <f>1 - ((BG4-BE4)^2) + (1 *BE4)</f>
        <v>0.99</v>
      </c>
      <c r="BI4" t="s">
        <v>80</v>
      </c>
      <c r="BJ4">
        <v>0</v>
      </c>
      <c r="BK4">
        <v>1</v>
      </c>
      <c r="BL4" cm="1">
        <f t="array" ref="BL4">_xlfn.IFS(BK4=$E$25, $F$25, BK4=$E$26, $F$26, BK4=$E$27, $F$27, BK4=$E$28, $F$28, BK4=$E$29, $F$29, BK4=$E$30, $F$30, BK4=$E$31, $F$31)</f>
        <v>0.1</v>
      </c>
      <c r="BM4">
        <f>1 - ((BL4-BJ4)^2) + (1 *BJ4)</f>
        <v>0.99</v>
      </c>
      <c r="BN4" t="s">
        <v>88</v>
      </c>
      <c r="BO4">
        <v>1</v>
      </c>
      <c r="BP4">
        <v>3</v>
      </c>
      <c r="BQ4" cm="1">
        <f t="array" ref="BQ4">_xlfn.IFS(BP4=$E$25, $F$25, BP4=$E$26, $F$26, BP4=$E$27, $F$27, BP4=$E$28, $F$28, BP4=$E$29, $F$29, BP4=$E$30, $F$30, BP4=$E$31, $F$31)</f>
        <v>0.4</v>
      </c>
      <c r="BR4">
        <f>1 - ((BQ4-BO4)^2) + (1 *BO4)</f>
        <v>1.6400000000000001</v>
      </c>
      <c r="BS4" t="s">
        <v>71</v>
      </c>
      <c r="BT4">
        <v>1</v>
      </c>
      <c r="BU4">
        <v>5</v>
      </c>
      <c r="BV4" cm="1">
        <f t="array" ref="BV4">_xlfn.IFS(BU4=$E$25, $F$25, BU4=$E$26, $F$26, BU4=$E$27, $F$27, BU4=$E$28, $F$28, BU4=$E$29, $F$29, BU4=$E$30, $F$30, BU4=$E$31, $F$31)</f>
        <v>0.6</v>
      </c>
      <c r="BW4">
        <f>1 - ((BV4-BT4)^2) + (1 *BT4)</f>
        <v>1.8399999999999999</v>
      </c>
      <c r="BX4" t="s">
        <v>60</v>
      </c>
      <c r="BY4">
        <v>1</v>
      </c>
      <c r="BZ4">
        <v>7</v>
      </c>
      <c r="CA4" cm="1">
        <f t="array" ref="CA4">_xlfn.IFS(BZ4=$E$25, $F$25, BZ4=$E$26, $F$26, BZ4=$E$27, $F$27, BZ4=$E$28, $F$28, BZ4=$E$29, $F$29, BZ4=$E$30, $F$30, BZ4=$E$31, $F$31)</f>
        <v>0.9</v>
      </c>
      <c r="CB4">
        <f>1 - ((CA4-BY4)^2) + (1 *BY4)</f>
        <v>1.99</v>
      </c>
      <c r="CC4" t="s">
        <v>61</v>
      </c>
      <c r="CD4">
        <v>1</v>
      </c>
      <c r="CE4">
        <v>7</v>
      </c>
      <c r="CF4" cm="1">
        <f t="array" ref="CF4">_xlfn.IFS(CE4=$E$25, $F$25, CE4=$E$26, $F$26, CE4=$E$27, $F$27, CE4=$E$28, $F$28, CE4=$E$29, $F$29, CE4=$E$30, $F$30, CE4=$E$31, $F$31)</f>
        <v>0.9</v>
      </c>
      <c r="CG4">
        <f>1 - ((CF4-CD4)^2) + (1 *CD4)</f>
        <v>1.99</v>
      </c>
      <c r="CH4">
        <v>1980</v>
      </c>
      <c r="CI4">
        <v>1</v>
      </c>
      <c r="CJ4">
        <v>7</v>
      </c>
      <c r="CK4" cm="1">
        <f t="array" ref="CK4">_xlfn.IFS(CJ4=$E$25, $F$25, CJ4=$E$26, $F$26, CJ4=$E$27, $F$27, CJ4=$E$28, $F$28, CJ4=$E$29, $F$29, CJ4=$E$30, $F$30, CJ4=$E$31, $F$31)</f>
        <v>0.9</v>
      </c>
      <c r="CL4">
        <f>1 - ((CK4-CI4)^2) + (1 *CI4)</f>
        <v>1.99</v>
      </c>
      <c r="CM4" t="s">
        <v>62</v>
      </c>
      <c r="CN4">
        <v>0</v>
      </c>
      <c r="CO4">
        <v>1</v>
      </c>
      <c r="CP4" cm="1">
        <f t="array" ref="CP4">_xlfn.IFS(CO4=$E$25, $F$25, CO4=$E$26, $F$26, CO4=$E$27, $F$27, CO4=$E$28, $F$28, CO4=$E$29, $F$29, CO4=$E$30, $F$30, CO4=$E$31, $F$31)</f>
        <v>0.1</v>
      </c>
      <c r="CQ4">
        <f>1 - ((CP4-CN4)^2) + (1 *CN4)</f>
        <v>0.99</v>
      </c>
      <c r="CR4">
        <v>8</v>
      </c>
      <c r="CS4">
        <v>0</v>
      </c>
      <c r="CT4">
        <v>2</v>
      </c>
      <c r="CU4" cm="1">
        <f t="array" ref="CU4">_xlfn.IFS(CT4=$E$25, $F$25, CT4=$E$26, $F$26, CT4=$E$27, $F$27, CT4=$E$28, $F$28, CT4=$E$29, $F$29, CT4=$E$30, $F$30, CT4=$E$31, $F$31)</f>
        <v>0.25</v>
      </c>
      <c r="CV4">
        <f>1 - ((CU4-CS4)^2) + (1 *CS4)</f>
        <v>0.9375</v>
      </c>
      <c r="CW4" t="s">
        <v>161</v>
      </c>
      <c r="CX4">
        <v>0</v>
      </c>
      <c r="CY4">
        <v>1</v>
      </c>
      <c r="CZ4" cm="1">
        <f t="array" ref="CZ4">_xlfn.IFS(CY4=$E$25, $F$25, CY4=$E$26, $F$26, CY4=$E$27, $F$27, CY4=$E$28, $F$28, CY4=$E$29, $F$29, CY4=$E$30, $F$30, CY4=$E$31, $F$31)</f>
        <v>0.1</v>
      </c>
      <c r="DA4">
        <f>1 - ((CZ4-CX4)^2) + (1 *CX4)</f>
        <v>0.99</v>
      </c>
    </row>
    <row r="5" spans="1:105">
      <c r="A5" s="3">
        <v>45987.644212962965</v>
      </c>
      <c r="B5">
        <v>4</v>
      </c>
      <c r="C5" s="2">
        <f>ROUND(SUMIF($F$1:$CS$1, "Weighted Score", $F5:$CS5),2)</f>
        <v>19.39</v>
      </c>
      <c r="D5" t="s">
        <v>214</v>
      </c>
      <c r="E5" t="s">
        <v>215</v>
      </c>
      <c r="F5" t="s">
        <v>85</v>
      </c>
      <c r="G5">
        <v>1</v>
      </c>
      <c r="H5">
        <v>7</v>
      </c>
      <c r="I5" cm="1">
        <f t="array" ref="I5">_xlfn.IFS(H5=$E$25, $F$25, H5=$E$26, $F$26, H5=$E$27, $F$27, H5=$E$28, $F$28, H5=$E$29, $F$29, H5=$E$30, $F$30, H5=$E$31, $F$31)</f>
        <v>0.9</v>
      </c>
      <c r="J5">
        <f>1 - ((I5-G5)^2) + (1 *G5)</f>
        <v>1.99</v>
      </c>
      <c r="K5" t="s">
        <v>139</v>
      </c>
      <c r="L5">
        <v>0</v>
      </c>
      <c r="M5">
        <v>1</v>
      </c>
      <c r="N5" cm="1">
        <f t="array" ref="N5">_xlfn.IFS(M5=$E$25, $F$25, M5=$E$26, $F$26, M5=$E$27, $F$27, M5=$E$28, $F$28, M5=$E$29, $F$29, M5=$E$30, $F$30, M5=$E$31, $F$31)</f>
        <v>0.1</v>
      </c>
      <c r="O5">
        <f>1 - ((N5-L5)^2) + (1 *L5)</f>
        <v>0.99</v>
      </c>
      <c r="P5">
        <v>1990</v>
      </c>
      <c r="Q5">
        <v>0</v>
      </c>
      <c r="R5">
        <v>1</v>
      </c>
      <c r="S5" cm="1">
        <f t="array" ref="S5">_xlfn.IFS(R5=$E$25, $F$25, R5=$E$26, $F$26, R5=$E$27, $F$27, R5=$E$28, $F$28, R5=$E$29, $F$29, R5=$E$30, $F$30, R5=$E$31, $F$31)</f>
        <v>0.1</v>
      </c>
      <c r="T5">
        <f>1 - ((S5-Q5)^2) + (1 *Q5)</f>
        <v>0.99</v>
      </c>
      <c r="U5">
        <v>21</v>
      </c>
      <c r="V5">
        <v>0</v>
      </c>
      <c r="W5">
        <v>1</v>
      </c>
      <c r="X5" cm="1">
        <f t="array" ref="X5">_xlfn.IFS(W5=$E$25, $F$25, W5=$E$26, $F$26, W5=$E$27, $F$27, W5=$E$28, $F$28, W5=$E$29, $F$29, W5=$E$30, $F$30, W5=$E$31, $F$31)</f>
        <v>0.1</v>
      </c>
      <c r="Y5">
        <f>1 - ((X5-V5)^2) + (1 *V5)</f>
        <v>0.99</v>
      </c>
      <c r="Z5">
        <v>30</v>
      </c>
      <c r="AA5">
        <v>0</v>
      </c>
      <c r="AB5">
        <v>1</v>
      </c>
      <c r="AC5" cm="1">
        <f t="array" ref="AC5">_xlfn.IFS(AB5=$E$25, $F$25, AB5=$E$26, $F$26, AB5=$E$27, $F$27, AB5=$E$28, $F$28, AB5=$E$29, $F$29, AB5=$E$30, $F$30, AB5=$E$31, $F$31)</f>
        <v>0.1</v>
      </c>
      <c r="AD5">
        <f>1 - ((AC5-AA5)^2) + (1 *AA5)</f>
        <v>0.99</v>
      </c>
      <c r="AE5" s="1">
        <v>0.15</v>
      </c>
      <c r="AF5">
        <v>0</v>
      </c>
      <c r="AG5">
        <v>1</v>
      </c>
      <c r="AH5" cm="1">
        <f t="array" ref="AH5">_xlfn.IFS(AG5=$E$25, $F$25, AG5=$E$26, $F$26, AG5=$E$27, $F$27, AG5=$E$28, $F$28, AG5=$E$29, $F$29, AG5=$E$30, $F$30, AG5=$E$31, $F$31)</f>
        <v>0.1</v>
      </c>
      <c r="AI5">
        <f>1 - ((AH5-AF5)^2) + (1 *AF5)</f>
        <v>0.99</v>
      </c>
      <c r="AJ5" t="s">
        <v>52</v>
      </c>
      <c r="AK5">
        <v>1</v>
      </c>
      <c r="AL5">
        <v>4</v>
      </c>
      <c r="AM5" cm="1">
        <f t="array" ref="AM5">_xlfn.IFS(AL5=$E$25, $F$25, AL5=$E$26, $F$26, AL5=$E$27, $F$27, AL5=$E$28, $F$28, AL5=$E$29, $F$29, AL5=$E$30, $F$30, AL5=$E$31, $F$31)</f>
        <v>0.5</v>
      </c>
      <c r="AN5">
        <f>1 - ((AM5-AK5)^2) + (1 *AK5)</f>
        <v>1.75</v>
      </c>
      <c r="AO5" t="s">
        <v>77</v>
      </c>
      <c r="AP5">
        <v>0</v>
      </c>
      <c r="AQ5">
        <v>4</v>
      </c>
      <c r="AR5" cm="1">
        <f t="array" ref="AR5">_xlfn.IFS(AQ5=$E$25, $F$25, AQ5=$E$26, $F$26, AQ5=$E$27, $F$27, AQ5=$E$28, $F$28, AQ5=$E$29, $F$29, AQ5=$E$30, $F$30, AQ5=$E$31, $F$31)</f>
        <v>0.5</v>
      </c>
      <c r="AS5">
        <f>1 - ((AR5-AP5)^2) + (1 *AP5)</f>
        <v>0.75</v>
      </c>
      <c r="AT5" t="s">
        <v>116</v>
      </c>
      <c r="AU5">
        <v>0</v>
      </c>
      <c r="AV5">
        <v>3</v>
      </c>
      <c r="AW5" cm="1">
        <f t="array" ref="AW5">_xlfn.IFS(AV5=$E$25, $F$25, AV5=$E$26, $F$26, AV5=$E$27, $F$27, AV5=$E$28, $F$28, AV5=$E$29, $F$29, AV5=$E$30, $F$30, AV5=$E$31, $F$31)</f>
        <v>0.4</v>
      </c>
      <c r="AX5">
        <f>1 - ((AW5-AU5)^2) + (1 *AU5)</f>
        <v>0.84</v>
      </c>
      <c r="AY5" t="s">
        <v>140</v>
      </c>
      <c r="AZ5">
        <v>0</v>
      </c>
      <c r="BA5">
        <v>2</v>
      </c>
      <c r="BB5" cm="1">
        <f t="array" ref="BB5">_xlfn.IFS(BA5=$E$25, $F$25, BA5=$E$26, $F$26, BA5=$E$27, $F$27, BA5=$E$28, $F$28, BA5=$E$29, $F$29, BA5=$E$30, $F$30, BA5=$E$31, $F$31)</f>
        <v>0.25</v>
      </c>
      <c r="BC5">
        <f>1 - ((BB5-AZ5)^2) + (1 *AZ5)</f>
        <v>0.9375</v>
      </c>
      <c r="BD5" t="s">
        <v>216</v>
      </c>
      <c r="BE5">
        <v>0</v>
      </c>
      <c r="BF5">
        <v>5</v>
      </c>
      <c r="BG5" cm="1">
        <f t="array" ref="BG5">_xlfn.IFS(BF5=$E$25, $F$25, BF5=$E$26, $F$26, BF5=$E$27, $F$27, BF5=$E$28, $F$28, BF5=$E$29, $F$29, BF5=$E$30, $F$30, BF5=$E$31, $F$31)</f>
        <v>0.6</v>
      </c>
      <c r="BH5">
        <f>1 - ((BG5-BE5)^2) + (1 *BE5)</f>
        <v>0.64</v>
      </c>
      <c r="BI5" t="s">
        <v>217</v>
      </c>
      <c r="BJ5">
        <v>0</v>
      </c>
      <c r="BK5">
        <v>2</v>
      </c>
      <c r="BL5" cm="1">
        <f t="array" ref="BL5">_xlfn.IFS(BK5=$E$25, $F$25, BK5=$E$26, $F$26, BK5=$E$27, $F$27, BK5=$E$28, $F$28, BK5=$E$29, $F$29, BK5=$E$30, $F$30, BK5=$E$31, $F$31)</f>
        <v>0.25</v>
      </c>
      <c r="BM5">
        <f>1 - ((BL5-BJ5)^2) + (1 *BJ5)</f>
        <v>0.9375</v>
      </c>
      <c r="BN5" t="s">
        <v>58</v>
      </c>
      <c r="BO5">
        <v>0</v>
      </c>
      <c r="BP5">
        <v>4</v>
      </c>
      <c r="BQ5" cm="1">
        <f t="array" ref="BQ5">_xlfn.IFS(BP5=$E$25, $F$25, BP5=$E$26, $F$26, BP5=$E$27, $F$27, BP5=$E$28, $F$28, BP5=$E$29, $F$29, BP5=$E$30, $F$30, BP5=$E$31, $F$31)</f>
        <v>0.5</v>
      </c>
      <c r="BR5">
        <f>1 - ((BQ5-BO5)^2) + (1 *BO5)</f>
        <v>0.75</v>
      </c>
      <c r="BS5" t="s">
        <v>218</v>
      </c>
      <c r="BT5">
        <v>0</v>
      </c>
      <c r="BU5">
        <v>4</v>
      </c>
      <c r="BV5" cm="1">
        <f t="array" ref="BV5">_xlfn.IFS(BU5=$E$25, $F$25, BU5=$E$26, $F$26, BU5=$E$27, $F$27, BU5=$E$28, $F$28, BU5=$E$29, $F$29, BU5=$E$30, $F$30, BU5=$E$31, $F$31)</f>
        <v>0.5</v>
      </c>
      <c r="BW5">
        <f>1 - ((BV5-BT5)^2) + (1 *BT5)</f>
        <v>0.75</v>
      </c>
      <c r="BX5" t="s">
        <v>105</v>
      </c>
      <c r="BY5">
        <v>0</v>
      </c>
      <c r="BZ5">
        <v>3</v>
      </c>
      <c r="CA5" cm="1">
        <f t="array" ref="CA5">_xlfn.IFS(BZ5=$E$25, $F$25, BZ5=$E$26, $F$26, BZ5=$E$27, $F$27, BZ5=$E$28, $F$28, BZ5=$E$29, $F$29, BZ5=$E$30, $F$30, BZ5=$E$31, $F$31)</f>
        <v>0.4</v>
      </c>
      <c r="CB5">
        <f>1 - ((CA5-BY5)^2) + (1 *BY5)</f>
        <v>0.84</v>
      </c>
      <c r="CC5" t="s">
        <v>61</v>
      </c>
      <c r="CD5">
        <v>1</v>
      </c>
      <c r="CE5">
        <v>4</v>
      </c>
      <c r="CF5" cm="1">
        <f t="array" ref="CF5">_xlfn.IFS(CE5=$E$25, $F$25, CE5=$E$26, $F$26, CE5=$E$27, $F$27, CE5=$E$28, $F$28, CE5=$E$29, $F$29, CE5=$E$30, $F$30, CE5=$E$31, $F$31)</f>
        <v>0.5</v>
      </c>
      <c r="CG5">
        <f>1 - ((CF5-CD5)^2) + (1 *CD5)</f>
        <v>1.75</v>
      </c>
      <c r="CH5">
        <v>1980</v>
      </c>
      <c r="CI5">
        <v>1</v>
      </c>
      <c r="CJ5">
        <v>4</v>
      </c>
      <c r="CK5" cm="1">
        <f t="array" ref="CK5">_xlfn.IFS(CJ5=$E$25, $F$25, CJ5=$E$26, $F$26, CJ5=$E$27, $F$27, CJ5=$E$28, $F$28, CJ5=$E$29, $F$29, CJ5=$E$30, $F$30, CJ5=$E$31, $F$31)</f>
        <v>0.5</v>
      </c>
      <c r="CL5">
        <f>1 - ((CK5-CI5)^2) + (1 *CI5)</f>
        <v>1.75</v>
      </c>
      <c r="CM5" t="s">
        <v>99</v>
      </c>
      <c r="CN5">
        <v>0</v>
      </c>
      <c r="CO5">
        <v>4</v>
      </c>
      <c r="CP5" cm="1">
        <f t="array" ref="CP5">_xlfn.IFS(CO5=$E$25, $F$25, CO5=$E$26, $F$26, CO5=$E$27, $F$27, CO5=$E$28, $F$28, CO5=$E$29, $F$29, CO5=$E$30, $F$30, CO5=$E$31, $F$31)</f>
        <v>0.5</v>
      </c>
      <c r="CQ5">
        <f>1 - ((CP5-CN5)^2) + (1 *CN5)</f>
        <v>0.75</v>
      </c>
      <c r="CR5">
        <v>20</v>
      </c>
      <c r="CS5">
        <v>0</v>
      </c>
      <c r="CT5">
        <v>1</v>
      </c>
      <c r="CU5" cm="1">
        <f t="array" ref="CU5">_xlfn.IFS(CT5=$E$25, $F$25, CT5=$E$26, $F$26, CT5=$E$27, $F$27, CT5=$E$28, $F$28, CT5=$E$29, $F$29, CT5=$E$30, $F$30, CT5=$E$31, $F$31)</f>
        <v>0.1</v>
      </c>
      <c r="CV5">
        <f>1 - ((CU5-CS5)^2) + (1 *CS5)</f>
        <v>0.99</v>
      </c>
      <c r="CW5" t="s">
        <v>100</v>
      </c>
      <c r="CX5">
        <v>0</v>
      </c>
      <c r="CY5">
        <v>1</v>
      </c>
      <c r="CZ5" cm="1">
        <f t="array" ref="CZ5">_xlfn.IFS(CY5=$E$25, $F$25, CY5=$E$26, $F$26, CY5=$E$27, $F$27, CY5=$E$28, $F$28, CY5=$E$29, $F$29, CY5=$E$30, $F$30, CY5=$E$31, $F$31)</f>
        <v>0.1</v>
      </c>
      <c r="DA5">
        <f>1 - ((CZ5-CX5)^2) + (1 *CX5)</f>
        <v>0.99</v>
      </c>
    </row>
    <row r="6" spans="1:105">
      <c r="A6" s="3">
        <v>45987.673171296294</v>
      </c>
      <c r="B6">
        <v>6</v>
      </c>
      <c r="C6" s="2">
        <f>ROUND(SUMIF($F$1:$CS$1, "Weighted Score", $F6:$CS6),2)</f>
        <v>19.73</v>
      </c>
      <c r="D6" t="s">
        <v>219</v>
      </c>
      <c r="E6" t="s">
        <v>220</v>
      </c>
      <c r="F6" t="s">
        <v>50</v>
      </c>
      <c r="G6">
        <v>0</v>
      </c>
      <c r="H6">
        <v>7</v>
      </c>
      <c r="I6" cm="1">
        <f t="array" ref="I6">_xlfn.IFS(H6=$E$25, $F$25, H6=$E$26, $F$26, H6=$E$27, $F$27, H6=$E$28, $F$28, H6=$E$29, $F$29, H6=$E$30, $F$30, H6=$E$31, $F$31)</f>
        <v>0.9</v>
      </c>
      <c r="J6">
        <f>1 - ((I6-G6)^2) + (1 *G6)</f>
        <v>0.18999999999999995</v>
      </c>
      <c r="K6" t="s">
        <v>51</v>
      </c>
      <c r="L6">
        <v>1</v>
      </c>
      <c r="M6">
        <v>5</v>
      </c>
      <c r="N6" cm="1">
        <f t="array" ref="N6">_xlfn.IFS(M6=$E$25, $F$25, M6=$E$26, $F$26, M6=$E$27, $F$27, M6=$E$28, $F$28, M6=$E$29, $F$29, M6=$E$30, $F$30, M6=$E$31, $F$31)</f>
        <v>0.6</v>
      </c>
      <c r="O6">
        <f>1 - ((N6-L6)^2) + (1 *L6)</f>
        <v>1.8399999999999999</v>
      </c>
      <c r="P6">
        <v>1980</v>
      </c>
      <c r="Q6">
        <v>0</v>
      </c>
      <c r="R6">
        <v>4</v>
      </c>
      <c r="S6" cm="1">
        <f t="array" ref="S6">_xlfn.IFS(R6=$E$25, $F$25, R6=$E$26, $F$26, R6=$E$27, $F$27, R6=$E$28, $F$28, R6=$E$29, $F$29, R6=$E$30, $F$30, R6=$E$31, $F$31)</f>
        <v>0.5</v>
      </c>
      <c r="T6">
        <f>1 - ((S6-Q6)^2) + (1 *Q6)</f>
        <v>0.75</v>
      </c>
      <c r="U6">
        <v>18</v>
      </c>
      <c r="V6">
        <v>1</v>
      </c>
      <c r="W6">
        <v>7</v>
      </c>
      <c r="X6" cm="1">
        <f t="array" ref="X6">_xlfn.IFS(W6=$E$25, $F$25, W6=$E$26, $F$26, W6=$E$27, $F$27, W6=$E$28, $F$28, W6=$E$29, $F$29, W6=$E$30, $F$30, W6=$E$31, $F$31)</f>
        <v>0.9</v>
      </c>
      <c r="Y6">
        <f>1 - ((X6-V6)^2) + (1 *V6)</f>
        <v>1.99</v>
      </c>
      <c r="Z6">
        <v>5</v>
      </c>
      <c r="AA6">
        <v>1</v>
      </c>
      <c r="AB6">
        <v>7</v>
      </c>
      <c r="AC6" cm="1">
        <f t="array" ref="AC6">_xlfn.IFS(AB6=$E$25, $F$25, AB6=$E$26, $F$26, AB6=$E$27, $F$27, AB6=$E$28, $F$28, AB6=$E$29, $F$29, AB6=$E$30, $F$30, AB6=$E$31, $F$31)</f>
        <v>0.9</v>
      </c>
      <c r="AD6">
        <f>1 - ((AC6-AA6)^2) + (1 *AA6)</f>
        <v>1.99</v>
      </c>
      <c r="AE6" s="1">
        <v>0.2</v>
      </c>
      <c r="AF6">
        <v>1</v>
      </c>
      <c r="AG6">
        <v>7</v>
      </c>
      <c r="AH6" cm="1">
        <f t="array" ref="AH6">_xlfn.IFS(AG6=$E$25, $F$25, AG6=$E$26, $F$26, AG6=$E$27, $F$27, AG6=$E$28, $F$28, AG6=$E$29, $F$29, AG6=$E$30, $F$30, AG6=$E$31, $F$31)</f>
        <v>0.9</v>
      </c>
      <c r="AI6">
        <f>1 - ((AH6-AF6)^2) + (1 *AF6)</f>
        <v>1.99</v>
      </c>
      <c r="AJ6" t="s">
        <v>152</v>
      </c>
      <c r="AK6">
        <v>0</v>
      </c>
      <c r="AL6">
        <v>3</v>
      </c>
      <c r="AM6" cm="1">
        <f t="array" ref="AM6">_xlfn.IFS(AL6=$E$25, $F$25, AL6=$E$26, $F$26, AL6=$E$27, $F$27, AL6=$E$28, $F$28, AL6=$E$29, $F$29, AL6=$E$30, $F$30, AL6=$E$31, $F$31)</f>
        <v>0.4</v>
      </c>
      <c r="AN6">
        <f>1 - ((AM6-AK6)^2) + (1 *AK6)</f>
        <v>0.84</v>
      </c>
      <c r="AO6" t="s">
        <v>77</v>
      </c>
      <c r="AP6">
        <v>0</v>
      </c>
      <c r="AQ6">
        <v>6</v>
      </c>
      <c r="AR6" cm="1">
        <f t="array" ref="AR6">_xlfn.IFS(AQ6=$E$25, $F$25, AQ6=$E$26, $F$26, AQ6=$E$27, $F$27, AQ6=$E$28, $F$28, AQ6=$E$29, $F$29, AQ6=$E$30, $F$30, AQ6=$E$31, $F$31)</f>
        <v>0.75</v>
      </c>
      <c r="AS6">
        <f>1 - ((AR6-AP6)^2) + (1 *AP6)</f>
        <v>0.4375</v>
      </c>
      <c r="AT6" t="s">
        <v>91</v>
      </c>
      <c r="AU6">
        <v>0</v>
      </c>
      <c r="AV6">
        <v>5</v>
      </c>
      <c r="AW6" cm="1">
        <f t="array" ref="AW6">_xlfn.IFS(AV6=$E$25, $F$25, AV6=$E$26, $F$26, AV6=$E$27, $F$27, AV6=$E$28, $F$28, AV6=$E$29, $F$29, AV6=$E$30, $F$30, AV6=$E$31, $F$31)</f>
        <v>0.6</v>
      </c>
      <c r="AX6">
        <f>1 - ((AW6-AU6)^2) + (1 *AU6)</f>
        <v>0.64</v>
      </c>
      <c r="AY6" t="s">
        <v>221</v>
      </c>
      <c r="AZ6">
        <v>0</v>
      </c>
      <c r="BA6">
        <v>1</v>
      </c>
      <c r="BB6" cm="1">
        <f t="array" ref="BB6">_xlfn.IFS(BA6=$E$25, $F$25, BA6=$E$26, $F$26, BA6=$E$27, $F$27, BA6=$E$28, $F$28, BA6=$E$29, $F$29, BA6=$E$30, $F$30, BA6=$E$31, $F$31)</f>
        <v>0.1</v>
      </c>
      <c r="BC6">
        <f>1 - ((BB6-AZ6)^2) + (1 *AZ6)</f>
        <v>0.99</v>
      </c>
      <c r="BD6">
        <v>1988</v>
      </c>
      <c r="BE6">
        <v>0</v>
      </c>
      <c r="BF6">
        <v>4</v>
      </c>
      <c r="BG6" cm="1">
        <f t="array" ref="BG6">_xlfn.IFS(BF6=$E$25, $F$25, BF6=$E$26, $F$26, BF6=$E$27, $F$27, BF6=$E$28, $F$28, BF6=$E$29, $F$29, BF6=$E$30, $F$30, BF6=$E$31, $F$31)</f>
        <v>0.5</v>
      </c>
      <c r="BH6">
        <f>1 - ((BG6-BE6)^2) + (1 *BE6)</f>
        <v>0.75</v>
      </c>
      <c r="BI6" t="s">
        <v>118</v>
      </c>
      <c r="BJ6">
        <v>0</v>
      </c>
      <c r="BK6">
        <v>1</v>
      </c>
      <c r="BL6" cm="1">
        <f t="array" ref="BL6">_xlfn.IFS(BK6=$E$25, $F$25, BK6=$E$26, $F$26, BK6=$E$27, $F$27, BK6=$E$28, $F$28, BK6=$E$29, $F$29, BK6=$E$30, $F$30, BK6=$E$31, $F$31)</f>
        <v>0.1</v>
      </c>
      <c r="BM6">
        <f>1 - ((BL6-BJ6)^2) + (1 *BJ6)</f>
        <v>0.99</v>
      </c>
      <c r="BN6" t="s">
        <v>88</v>
      </c>
      <c r="BO6">
        <v>1</v>
      </c>
      <c r="BP6">
        <v>6</v>
      </c>
      <c r="BQ6" cm="1">
        <f t="array" ref="BQ6">_xlfn.IFS(BP6=$E$25, $F$25, BP6=$E$26, $F$26, BP6=$E$27, $F$27, BP6=$E$28, $F$28, BP6=$E$29, $F$29, BP6=$E$30, $F$30, BP6=$E$31, $F$31)</f>
        <v>0.75</v>
      </c>
      <c r="BR6">
        <f>1 - ((BQ6-BO6)^2) + (1 *BO6)</f>
        <v>1.9375</v>
      </c>
      <c r="BS6" t="s">
        <v>59</v>
      </c>
      <c r="BT6">
        <v>0</v>
      </c>
      <c r="BU6">
        <v>5</v>
      </c>
      <c r="BV6" cm="1">
        <f t="array" ref="BV6">_xlfn.IFS(BU6=$E$25, $F$25, BU6=$E$26, $F$26, BU6=$E$27, $F$27, BU6=$E$28, $F$28, BU6=$E$29, $F$29, BU6=$E$30, $F$30, BU6=$E$31, $F$31)</f>
        <v>0.6</v>
      </c>
      <c r="BW6">
        <f>1 - ((BV6-BT6)^2) + (1 *BT6)</f>
        <v>0.64</v>
      </c>
      <c r="BX6" t="s">
        <v>105</v>
      </c>
      <c r="BY6">
        <v>0</v>
      </c>
      <c r="BZ6">
        <v>3</v>
      </c>
      <c r="CA6" cm="1">
        <f t="array" ref="CA6">_xlfn.IFS(BZ6=$E$25, $F$25, BZ6=$E$26, $F$26, BZ6=$E$27, $F$27, BZ6=$E$28, $F$28, BZ6=$E$29, $F$29, BZ6=$E$30, $F$30, BZ6=$E$31, $F$31)</f>
        <v>0.4</v>
      </c>
      <c r="CB6">
        <f>1 - ((CA6-BY6)^2) + (1 *BY6)</f>
        <v>0.84</v>
      </c>
      <c r="CC6" t="s">
        <v>222</v>
      </c>
      <c r="CD6">
        <v>0</v>
      </c>
      <c r="CE6">
        <v>3</v>
      </c>
      <c r="CF6" cm="1">
        <f t="array" ref="CF6">_xlfn.IFS(CE6=$E$25, $F$25, CE6=$E$26, $F$26, CE6=$E$27, $F$27, CE6=$E$28, $F$28, CE6=$E$29, $F$29, CE6=$E$30, $F$30, CE6=$E$31, $F$31)</f>
        <v>0.4</v>
      </c>
      <c r="CG6">
        <f>1 - ((CF6-CD6)^2) + (1 *CD6)</f>
        <v>0.84</v>
      </c>
      <c r="CH6">
        <v>2002</v>
      </c>
      <c r="CI6">
        <v>0</v>
      </c>
      <c r="CJ6">
        <v>5</v>
      </c>
      <c r="CK6" cm="1">
        <f t="array" ref="CK6">_xlfn.IFS(CJ6=$E$25, $F$25, CJ6=$E$26, $F$26, CJ6=$E$27, $F$27, CJ6=$E$28, $F$28, CJ6=$E$29, $F$29, CJ6=$E$30, $F$30, CJ6=$E$31, $F$31)</f>
        <v>0.6</v>
      </c>
      <c r="CL6">
        <f>1 - ((CK6-CI6)^2) + (1 *CI6)</f>
        <v>0.64</v>
      </c>
      <c r="CM6" t="s">
        <v>134</v>
      </c>
      <c r="CN6">
        <v>1</v>
      </c>
      <c r="CO6">
        <v>2</v>
      </c>
      <c r="CP6" cm="1">
        <f t="array" ref="CP6">_xlfn.IFS(CO6=$E$25, $F$25, CO6=$E$26, $F$26, CO6=$E$27, $F$27, CO6=$E$28, $F$28, CO6=$E$29, $F$29, CO6=$E$30, $F$30, CO6=$E$31, $F$31)</f>
        <v>0.25</v>
      </c>
      <c r="CQ6">
        <f>1 - ((CP6-CN6)^2) + (1 *CN6)</f>
        <v>1.4375</v>
      </c>
      <c r="CR6">
        <v>6</v>
      </c>
      <c r="CS6">
        <v>0</v>
      </c>
      <c r="CT6">
        <v>1</v>
      </c>
      <c r="CU6" cm="1">
        <f t="array" ref="CU6">_xlfn.IFS(CT6=$E$25, $F$25, CT6=$E$26, $F$26, CT6=$E$27, $F$27, CT6=$E$28, $F$28, CT6=$E$29, $F$29, CT6=$E$30, $F$30, CT6=$E$31, $F$31)</f>
        <v>0.1</v>
      </c>
      <c r="CV6">
        <f>1 - ((CU6-CS6)^2) + (1 *CS6)</f>
        <v>0.99</v>
      </c>
      <c r="CW6" t="s">
        <v>223</v>
      </c>
      <c r="CX6">
        <v>0</v>
      </c>
      <c r="CY6">
        <v>3</v>
      </c>
      <c r="CZ6" cm="1">
        <f t="array" ref="CZ6">_xlfn.IFS(CY6=$E$25, $F$25, CY6=$E$26, $F$26, CY6=$E$27, $F$27, CY6=$E$28, $F$28, CY6=$E$29, $F$29, CY6=$E$30, $F$30, CY6=$E$31, $F$31)</f>
        <v>0.4</v>
      </c>
      <c r="DA6">
        <f>1 - ((CZ6-CX6)^2) + (1 *CX6)</f>
        <v>0.84</v>
      </c>
    </row>
    <row r="7" spans="1:105">
      <c r="A7" s="3">
        <v>45992.583726851852</v>
      </c>
      <c r="B7">
        <v>12</v>
      </c>
      <c r="C7" s="2">
        <f>ROUND(SUMIF($F$1:$CS$1, "Weighted Score", $F7:$CS7),2)</f>
        <v>27.07</v>
      </c>
      <c r="D7" t="s">
        <v>224</v>
      </c>
      <c r="E7" t="s">
        <v>225</v>
      </c>
      <c r="F7" t="s">
        <v>76</v>
      </c>
      <c r="G7">
        <v>0</v>
      </c>
      <c r="H7">
        <v>4</v>
      </c>
      <c r="I7" cm="1">
        <f t="array" ref="I7">_xlfn.IFS(H7=$E$25, $F$25, H7=$E$26, $F$26, H7=$E$27, $F$27, H7=$E$28, $F$28, H7=$E$29, $F$29, H7=$E$30, $F$30, H7=$E$31, $F$31)</f>
        <v>0.5</v>
      </c>
      <c r="J7">
        <f>1 - ((I7-G7)^2) + (1 *G7)</f>
        <v>0.75</v>
      </c>
      <c r="K7" t="s">
        <v>51</v>
      </c>
      <c r="L7">
        <v>1</v>
      </c>
      <c r="M7">
        <v>3</v>
      </c>
      <c r="N7" cm="1">
        <f t="array" ref="N7">_xlfn.IFS(M7=$E$25, $F$25, M7=$E$26, $F$26, M7=$E$27, $F$27, M7=$E$28, $F$28, M7=$E$29, $F$29, M7=$E$30, $F$30, M7=$E$31, $F$31)</f>
        <v>0.4</v>
      </c>
      <c r="O7">
        <f>1 - ((N7-L7)^2) + (1 *L7)</f>
        <v>1.6400000000000001</v>
      </c>
      <c r="P7">
        <v>1998</v>
      </c>
      <c r="Q7">
        <v>1</v>
      </c>
      <c r="R7">
        <v>3</v>
      </c>
      <c r="S7" cm="1">
        <f t="array" ref="S7">_xlfn.IFS(R7=$E$25, $F$25, R7=$E$26, $F$26, R7=$E$27, $F$27, R7=$E$28, $F$28, R7=$E$29, $F$29, R7=$E$30, $F$30, R7=$E$31, $F$31)</f>
        <v>0.4</v>
      </c>
      <c r="T7">
        <f>1 - ((S7-Q7)^2) + (1 *Q7)</f>
        <v>1.6400000000000001</v>
      </c>
      <c r="U7">
        <v>18</v>
      </c>
      <c r="V7">
        <v>1</v>
      </c>
      <c r="W7">
        <v>7</v>
      </c>
      <c r="X7" cm="1">
        <f t="array" ref="X7">_xlfn.IFS(W7=$E$25, $F$25, W7=$E$26, $F$26, W7=$E$27, $F$27, W7=$E$28, $F$28, W7=$E$29, $F$29, W7=$E$30, $F$30, W7=$E$31, $F$31)</f>
        <v>0.9</v>
      </c>
      <c r="Y7">
        <f>1 - ((X7-V7)^2) + (1 *V7)</f>
        <v>1.99</v>
      </c>
      <c r="Z7" s="1">
        <v>0.05</v>
      </c>
      <c r="AA7">
        <v>1</v>
      </c>
      <c r="AB7">
        <v>7</v>
      </c>
      <c r="AC7" cm="1">
        <f t="array" ref="AC7">_xlfn.IFS(AB7=$E$25, $F$25, AB7=$E$26, $F$26, AB7=$E$27, $F$27, AB7=$E$28, $F$28, AB7=$E$29, $F$29, AB7=$E$30, $F$30, AB7=$E$31, $F$31)</f>
        <v>0.9</v>
      </c>
      <c r="AD7">
        <f>1 - ((AC7-AA7)^2) + (1 *AA7)</f>
        <v>1.99</v>
      </c>
      <c r="AE7" s="1">
        <v>0.2</v>
      </c>
      <c r="AF7">
        <v>1</v>
      </c>
      <c r="AG7">
        <v>5</v>
      </c>
      <c r="AH7" cm="1">
        <f t="array" ref="AH7">_xlfn.IFS(AG7=$E$25, $F$25, AG7=$E$26, $F$26, AG7=$E$27, $F$27, AG7=$E$28, $F$28, AG7=$E$29, $F$29, AG7=$E$30, $F$30, AG7=$E$31, $F$31)</f>
        <v>0.6</v>
      </c>
      <c r="AI7">
        <f>1 - ((AH7-AF7)^2) + (1 *AF7)</f>
        <v>1.8399999999999999</v>
      </c>
      <c r="AJ7" t="s">
        <v>52</v>
      </c>
      <c r="AK7">
        <v>1</v>
      </c>
      <c r="AL7">
        <v>7</v>
      </c>
      <c r="AM7" cm="1">
        <f t="array" ref="AM7">_xlfn.IFS(AL7=$E$25, $F$25, AL7=$E$26, $F$26, AL7=$E$27, $F$27, AL7=$E$28, $F$28, AL7=$E$29, $F$29, AL7=$E$30, $F$30, AL7=$E$31, $F$31)</f>
        <v>0.9</v>
      </c>
      <c r="AN7">
        <f>1 - ((AM7-AK7)^2) + (1 *AK7)</f>
        <v>1.99</v>
      </c>
      <c r="AO7" t="s">
        <v>67</v>
      </c>
      <c r="AP7">
        <v>0</v>
      </c>
      <c r="AQ7">
        <v>3</v>
      </c>
      <c r="AR7" cm="1">
        <f t="array" ref="AR7">_xlfn.IFS(AQ7=$E$25, $F$25, AQ7=$E$26, $F$26, AQ7=$E$27, $F$27, AQ7=$E$28, $F$28, AQ7=$E$29, $F$29, AQ7=$E$30, $F$30, AQ7=$E$31, $F$31)</f>
        <v>0.4</v>
      </c>
      <c r="AS7">
        <f>1 - ((AR7-AP7)^2) + (1 *AP7)</f>
        <v>0.84</v>
      </c>
      <c r="AT7" t="s">
        <v>54</v>
      </c>
      <c r="AU7">
        <v>1</v>
      </c>
      <c r="AV7">
        <v>2</v>
      </c>
      <c r="AW7" cm="1">
        <f t="array" ref="AW7">_xlfn.IFS(AV7=$E$25, $F$25, AV7=$E$26, $F$26, AV7=$E$27, $F$27, AV7=$E$28, $F$28, AV7=$E$29, $F$29, AV7=$E$30, $F$30, AV7=$E$31, $F$31)</f>
        <v>0.25</v>
      </c>
      <c r="AX7">
        <f>1 - ((AW7-AU7)^2) + (1 *AU7)</f>
        <v>1.4375</v>
      </c>
      <c r="AY7" t="s">
        <v>68</v>
      </c>
      <c r="AZ7">
        <v>1</v>
      </c>
      <c r="BA7">
        <v>6</v>
      </c>
      <c r="BB7" cm="1">
        <f t="array" ref="BB7">_xlfn.IFS(BA7=$E$25, $F$25, BA7=$E$26, $F$26, BA7=$E$27, $F$27, BA7=$E$28, $F$28, BA7=$E$29, $F$29, BA7=$E$30, $F$30, BA7=$E$31, $F$31)</f>
        <v>0.75</v>
      </c>
      <c r="BC7">
        <f>1 - ((BB7-AZ7)^2) + (1 *AZ7)</f>
        <v>1.9375</v>
      </c>
      <c r="BD7" t="s">
        <v>226</v>
      </c>
      <c r="BE7">
        <v>1</v>
      </c>
      <c r="BF7">
        <v>5</v>
      </c>
      <c r="BG7" cm="1">
        <f t="array" ref="BG7">_xlfn.IFS(BF7=$E$25, $F$25, BF7=$E$26, $F$26, BF7=$E$27, $F$27, BF7=$E$28, $F$28, BF7=$E$29, $F$29, BF7=$E$30, $F$30, BF7=$E$31, $F$31)</f>
        <v>0.6</v>
      </c>
      <c r="BH7">
        <f>1 - ((BG7-BE7)^2) + (1 *BE7)</f>
        <v>1.8399999999999999</v>
      </c>
      <c r="BI7" t="s">
        <v>80</v>
      </c>
      <c r="BJ7">
        <v>0</v>
      </c>
      <c r="BK7">
        <v>1</v>
      </c>
      <c r="BL7" cm="1">
        <f t="array" ref="BL7">_xlfn.IFS(BK7=$E$25, $F$25, BK7=$E$26, $F$26, BK7=$E$27, $F$27, BK7=$E$28, $F$28, BK7=$E$29, $F$29, BK7=$E$30, $F$30, BK7=$E$31, $F$31)</f>
        <v>0.1</v>
      </c>
      <c r="BM7">
        <f>1 - ((BL7-BJ7)^2) + (1 *BJ7)</f>
        <v>0.99</v>
      </c>
      <c r="BN7" t="s">
        <v>58</v>
      </c>
      <c r="BO7">
        <v>0</v>
      </c>
      <c r="BP7">
        <v>2</v>
      </c>
      <c r="BQ7" cm="1">
        <f t="array" ref="BQ7">_xlfn.IFS(BP7=$E$25, $F$25, BP7=$E$26, $F$26, BP7=$E$27, $F$27, BP7=$E$28, $F$28, BP7=$E$29, $F$29, BP7=$E$30, $F$30, BP7=$E$31, $F$31)</f>
        <v>0.25</v>
      </c>
      <c r="BR7">
        <f>1 - ((BQ7-BO7)^2) + (1 *BO7)</f>
        <v>0.9375</v>
      </c>
      <c r="BS7" t="s">
        <v>71</v>
      </c>
      <c r="BT7">
        <v>1</v>
      </c>
      <c r="BU7">
        <v>7</v>
      </c>
      <c r="BV7" cm="1">
        <f t="array" ref="BV7">_xlfn.IFS(BU7=$E$25, $F$25, BU7=$E$26, $F$26, BU7=$E$27, $F$27, BU7=$E$28, $F$28, BU7=$E$29, $F$29, BU7=$E$30, $F$30, BU7=$E$31, $F$31)</f>
        <v>0.9</v>
      </c>
      <c r="BW7">
        <f>1 - ((BV7-BT7)^2) + (1 *BT7)</f>
        <v>1.99</v>
      </c>
      <c r="BX7" t="s">
        <v>105</v>
      </c>
      <c r="BY7">
        <v>0</v>
      </c>
      <c r="BZ7">
        <v>3</v>
      </c>
      <c r="CA7" cm="1">
        <f t="array" ref="CA7">_xlfn.IFS(BZ7=$E$25, $F$25, BZ7=$E$26, $F$26, BZ7=$E$27, $F$27, BZ7=$E$28, $F$28, BZ7=$E$29, $F$29, BZ7=$E$30, $F$30, BZ7=$E$31, $F$31)</f>
        <v>0.4</v>
      </c>
      <c r="CB7">
        <f>1 - ((CA7-BY7)^2) + (1 *BY7)</f>
        <v>0.84</v>
      </c>
      <c r="CC7" t="s">
        <v>61</v>
      </c>
      <c r="CD7">
        <v>1</v>
      </c>
      <c r="CE7">
        <v>5</v>
      </c>
      <c r="CF7" cm="1">
        <f t="array" ref="CF7">_xlfn.IFS(CE7=$E$25, $F$25, CE7=$E$26, $F$26, CE7=$E$27, $F$27, CE7=$E$28, $F$28, CE7=$E$29, $F$29, CE7=$E$30, $F$30, CE7=$E$31, $F$31)</f>
        <v>0.6</v>
      </c>
      <c r="CG7">
        <f>1 - ((CF7-CD7)^2) + (1 *CD7)</f>
        <v>1.8399999999999999</v>
      </c>
      <c r="CH7">
        <v>1980</v>
      </c>
      <c r="CI7">
        <v>1</v>
      </c>
      <c r="CJ7">
        <v>3</v>
      </c>
      <c r="CK7" cm="1">
        <f t="array" ref="CK7">_xlfn.IFS(CJ7=$E$25, $F$25, CJ7=$E$26, $F$26, CJ7=$E$27, $F$27, CJ7=$E$28, $F$28, CJ7=$E$29, $F$29, CJ7=$E$30, $F$30, CJ7=$E$31, $F$31)</f>
        <v>0.4</v>
      </c>
      <c r="CL7">
        <f>1 - ((CK7-CI7)^2) + (1 *CI7)</f>
        <v>1.6400000000000001</v>
      </c>
      <c r="CM7" t="s">
        <v>72</v>
      </c>
      <c r="CN7">
        <v>0</v>
      </c>
      <c r="CO7">
        <v>2</v>
      </c>
      <c r="CP7" cm="1">
        <f t="array" ref="CP7">_xlfn.IFS(CO7=$E$25, $F$25, CO7=$E$26, $F$26, CO7=$E$27, $F$27, CO7=$E$28, $F$28, CO7=$E$29, $F$29, CO7=$E$30, $F$30, CO7=$E$31, $F$31)</f>
        <v>0.25</v>
      </c>
      <c r="CQ7">
        <f>1 - ((CP7-CN7)^2) + (1 *CN7)</f>
        <v>0.9375</v>
      </c>
      <c r="CR7">
        <v>4</v>
      </c>
      <c r="CS7">
        <v>0</v>
      </c>
      <c r="CT7">
        <v>2</v>
      </c>
      <c r="CU7" cm="1">
        <f t="array" ref="CU7">_xlfn.IFS(CT7=$E$25, $F$25, CT7=$E$26, $F$26, CT7=$E$27, $F$27, CT7=$E$28, $F$28, CT7=$E$29, $F$29, CT7=$E$30, $F$30, CT7=$E$31, $F$31)</f>
        <v>0.25</v>
      </c>
      <c r="CV7">
        <f>1 - ((CU7-CS7)^2) + (1 *CS7)</f>
        <v>0.9375</v>
      </c>
      <c r="CW7" t="s">
        <v>227</v>
      </c>
      <c r="CX7">
        <v>0</v>
      </c>
      <c r="CY7">
        <v>1</v>
      </c>
      <c r="CZ7" cm="1">
        <f t="array" ref="CZ7">_xlfn.IFS(CY7=$E$25, $F$25, CY7=$E$26, $F$26, CY7=$E$27, $F$27, CY7=$E$28, $F$28, CY7=$E$29, $F$29, CY7=$E$30, $F$30, CY7=$E$31, $F$31)</f>
        <v>0.1</v>
      </c>
      <c r="DA7">
        <f>1 - ((CZ7-CX7)^2) + (1 *CX7)</f>
        <v>0.99</v>
      </c>
    </row>
    <row r="8" spans="1:105">
      <c r="A8" s="3">
        <v>45992.950636574074</v>
      </c>
      <c r="B8">
        <v>12</v>
      </c>
      <c r="C8" s="2">
        <f>ROUND(SUMIF($F$1:$CS$1, "Weighted Score", $F8:$CS8),2)</f>
        <v>26.57</v>
      </c>
      <c r="D8" t="s">
        <v>228</v>
      </c>
      <c r="E8" t="s">
        <v>229</v>
      </c>
      <c r="F8" t="s">
        <v>85</v>
      </c>
      <c r="G8">
        <v>1</v>
      </c>
      <c r="H8">
        <v>5</v>
      </c>
      <c r="I8" cm="1">
        <f t="array" ref="I8">_xlfn.IFS(H8=$E$25, $F$25, H8=$E$26, $F$26, H8=$E$27, $F$27, H8=$E$28, $F$28, H8=$E$29, $F$29, H8=$E$30, $F$30, H8=$E$31, $F$31)</f>
        <v>0.6</v>
      </c>
      <c r="J8">
        <f>1 - ((I8-G8)^2) + (1 *G8)</f>
        <v>1.8399999999999999</v>
      </c>
      <c r="K8" t="s">
        <v>51</v>
      </c>
      <c r="L8">
        <v>1</v>
      </c>
      <c r="M8">
        <v>1</v>
      </c>
      <c r="N8" cm="1">
        <f t="array" ref="N8">_xlfn.IFS(M8=$E$25, $F$25, M8=$E$26, $F$26, M8=$E$27, $F$27, M8=$E$28, $F$28, M8=$E$29, $F$29, M8=$E$30, $F$30, M8=$E$31, $F$31)</f>
        <v>0.1</v>
      </c>
      <c r="O8">
        <f>1 - ((N8-L8)^2) + (1 *L8)</f>
        <v>1.19</v>
      </c>
      <c r="P8" t="s">
        <v>131</v>
      </c>
      <c r="Q8">
        <v>0</v>
      </c>
      <c r="R8">
        <v>5</v>
      </c>
      <c r="S8" cm="1">
        <f t="array" ref="S8">_xlfn.IFS(R8=$E$25, $F$25, R8=$E$26, $F$26, R8=$E$27, $F$27, R8=$E$28, $F$28, R8=$E$29, $F$29, R8=$E$30, $F$30, R8=$E$31, $F$31)</f>
        <v>0.6</v>
      </c>
      <c r="T8">
        <f>1 - ((S8-Q8)^2) + (1 *Q8)</f>
        <v>0.64</v>
      </c>
      <c r="U8">
        <v>18</v>
      </c>
      <c r="V8">
        <v>1</v>
      </c>
      <c r="W8">
        <v>6</v>
      </c>
      <c r="X8" cm="1">
        <f t="array" ref="X8">_xlfn.IFS(W8=$E$25, $F$25, W8=$E$26, $F$26, W8=$E$27, $F$27, W8=$E$28, $F$28, W8=$E$29, $F$29, W8=$E$30, $F$30, W8=$E$31, $F$31)</f>
        <v>0.75</v>
      </c>
      <c r="Y8">
        <f>1 - ((X8-V8)^2) + (1 *V8)</f>
        <v>1.9375</v>
      </c>
      <c r="Z8" t="s">
        <v>66</v>
      </c>
      <c r="AA8">
        <v>1</v>
      </c>
      <c r="AB8">
        <v>6</v>
      </c>
      <c r="AC8" cm="1">
        <f t="array" ref="AC8">_xlfn.IFS(AB8=$E$25, $F$25, AB8=$E$26, $F$26, AB8=$E$27, $F$27, AB8=$E$28, $F$28, AB8=$E$29, $F$29, AB8=$E$30, $F$30, AB8=$E$31, $F$31)</f>
        <v>0.75</v>
      </c>
      <c r="AD8">
        <f>1 - ((AC8-AA8)^2) + (1 *AA8)</f>
        <v>1.9375</v>
      </c>
      <c r="AE8" s="1">
        <v>0.2</v>
      </c>
      <c r="AF8">
        <v>1</v>
      </c>
      <c r="AG8">
        <v>5</v>
      </c>
      <c r="AH8" cm="1">
        <f t="array" ref="AH8">_xlfn.IFS(AG8=$E$25, $F$25, AG8=$E$26, $F$26, AG8=$E$27, $F$27, AG8=$E$28, $F$28, AG8=$E$29, $F$29, AG8=$E$30, $F$30, AG8=$E$31, $F$31)</f>
        <v>0.6</v>
      </c>
      <c r="AI8">
        <f>1 - ((AH8-AF8)^2) + (1 *AF8)</f>
        <v>1.8399999999999999</v>
      </c>
      <c r="AJ8" t="s">
        <v>52</v>
      </c>
      <c r="AK8">
        <v>1</v>
      </c>
      <c r="AL8">
        <v>6</v>
      </c>
      <c r="AM8" cm="1">
        <f t="array" ref="AM8">_xlfn.IFS(AL8=$E$25, $F$25, AL8=$E$26, $F$26, AL8=$E$27, $F$27, AL8=$E$28, $F$28, AL8=$E$29, $F$29, AL8=$E$30, $F$30, AL8=$E$31, $F$31)</f>
        <v>0.75</v>
      </c>
      <c r="AN8">
        <f>1 - ((AM8-AK8)^2) + (1 *AK8)</f>
        <v>1.9375</v>
      </c>
      <c r="AO8" t="s">
        <v>109</v>
      </c>
      <c r="AP8">
        <v>0</v>
      </c>
      <c r="AQ8">
        <v>5</v>
      </c>
      <c r="AR8" cm="1">
        <f t="array" ref="AR8">_xlfn.IFS(AQ8=$E$25, $F$25, AQ8=$E$26, $F$26, AQ8=$E$27, $F$27, AQ8=$E$28, $F$28, AQ8=$E$29, $F$29, AQ8=$E$30, $F$30, AQ8=$E$31, $F$31)</f>
        <v>0.6</v>
      </c>
      <c r="AS8">
        <f>1 - ((AR8-AP8)^2) + (1 *AP8)</f>
        <v>0.64</v>
      </c>
      <c r="AT8" t="s">
        <v>54</v>
      </c>
      <c r="AU8">
        <v>1</v>
      </c>
      <c r="AV8">
        <v>5</v>
      </c>
      <c r="AW8" cm="1">
        <f t="array" ref="AW8">_xlfn.IFS(AV8=$E$25, $F$25, AV8=$E$26, $F$26, AV8=$E$27, $F$27, AV8=$E$28, $F$28, AV8=$E$29, $F$29, AV8=$E$30, $F$30, AV8=$E$31, $F$31)</f>
        <v>0.6</v>
      </c>
      <c r="AX8">
        <f>1 - ((AW8-AU8)^2) + (1 *AU8)</f>
        <v>1.8399999999999999</v>
      </c>
      <c r="AY8" t="s">
        <v>68</v>
      </c>
      <c r="AZ8">
        <v>1</v>
      </c>
      <c r="BA8">
        <v>6</v>
      </c>
      <c r="BB8" cm="1">
        <f t="array" ref="BB8">_xlfn.IFS(BA8=$E$25, $F$25, BA8=$E$26, $F$26, BA8=$E$27, $F$27, BA8=$E$28, $F$28, BA8=$E$29, $F$29, BA8=$E$30, $F$30, BA8=$E$31, $F$31)</f>
        <v>0.75</v>
      </c>
      <c r="BC8">
        <f>1 - ((BB8-AZ8)^2) + (1 *AZ8)</f>
        <v>1.9375</v>
      </c>
      <c r="BD8">
        <v>1800</v>
      </c>
      <c r="BE8">
        <v>0</v>
      </c>
      <c r="BF8">
        <v>2</v>
      </c>
      <c r="BG8" cm="1">
        <f t="array" ref="BG8">_xlfn.IFS(BF8=$E$25, $F$25, BF8=$E$26, $F$26, BF8=$E$27, $F$27, BF8=$E$28, $F$28, BF8=$E$29, $F$29, BF8=$E$30, $F$30, BF8=$E$31, $F$31)</f>
        <v>0.25</v>
      </c>
      <c r="BH8">
        <f>1 - ((BG8-BE8)^2) + (1 *BE8)</f>
        <v>0.9375</v>
      </c>
      <c r="BI8" t="s">
        <v>230</v>
      </c>
      <c r="BJ8">
        <v>0</v>
      </c>
      <c r="BK8">
        <v>2</v>
      </c>
      <c r="BL8" cm="1">
        <f t="array" ref="BL8">_xlfn.IFS(BK8=$E$25, $F$25, BK8=$E$26, $F$26, BK8=$E$27, $F$27, BK8=$E$28, $F$28, BK8=$E$29, $F$29, BK8=$E$30, $F$30, BK8=$E$31, $F$31)</f>
        <v>0.25</v>
      </c>
      <c r="BM8">
        <f>1 - ((BL8-BJ8)^2) + (1 *BJ8)</f>
        <v>0.9375</v>
      </c>
      <c r="BN8" t="s">
        <v>88</v>
      </c>
      <c r="BO8">
        <v>1</v>
      </c>
      <c r="BP8">
        <v>3</v>
      </c>
      <c r="BQ8" cm="1">
        <f t="array" ref="BQ8">_xlfn.IFS(BP8=$E$25, $F$25, BP8=$E$26, $F$26, BP8=$E$27, $F$27, BP8=$E$28, $F$28, BP8=$E$29, $F$29, BP8=$E$30, $F$30, BP8=$E$31, $F$31)</f>
        <v>0.4</v>
      </c>
      <c r="BR8">
        <f>1 - ((BQ8-BO8)^2) + (1 *BO8)</f>
        <v>1.6400000000000001</v>
      </c>
      <c r="BS8" t="s">
        <v>71</v>
      </c>
      <c r="BT8">
        <v>1</v>
      </c>
      <c r="BU8">
        <v>6</v>
      </c>
      <c r="BV8" cm="1">
        <f t="array" ref="BV8">_xlfn.IFS(BU8=$E$25, $F$25, BU8=$E$26, $F$26, BU8=$E$27, $F$27, BU8=$E$28, $F$28, BU8=$E$29, $F$29, BU8=$E$30, $F$30, BU8=$E$31, $F$31)</f>
        <v>0.75</v>
      </c>
      <c r="BW8">
        <f>1 - ((BV8-BT8)^2) + (1 *BT8)</f>
        <v>1.9375</v>
      </c>
      <c r="BX8" t="s">
        <v>60</v>
      </c>
      <c r="BY8">
        <v>1</v>
      </c>
      <c r="BZ8">
        <v>4</v>
      </c>
      <c r="CA8" cm="1">
        <f t="array" ref="CA8">_xlfn.IFS(BZ8=$E$25, $F$25, BZ8=$E$26, $F$26, BZ8=$E$27, $F$27, BZ8=$E$28, $F$28, BZ8=$E$29, $F$29, BZ8=$E$30, $F$30, BZ8=$E$31, $F$31)</f>
        <v>0.5</v>
      </c>
      <c r="CB8">
        <f>1 - ((CA8-BY8)^2) + (1 *BY8)</f>
        <v>1.75</v>
      </c>
      <c r="CC8" t="s">
        <v>61</v>
      </c>
      <c r="CD8">
        <v>1</v>
      </c>
      <c r="CE8">
        <v>4</v>
      </c>
      <c r="CF8" cm="1">
        <f t="array" ref="CF8">_xlfn.IFS(CE8=$E$25, $F$25, CE8=$E$26, $F$26, CE8=$E$27, $F$27, CE8=$E$28, $F$28, CE8=$E$29, $F$29, CE8=$E$30, $F$30, CE8=$E$31, $F$31)</f>
        <v>0.5</v>
      </c>
      <c r="CG8">
        <f>1 - ((CF8-CD8)^2) + (1 *CD8)</f>
        <v>1.75</v>
      </c>
      <c r="CH8">
        <v>2003</v>
      </c>
      <c r="CI8">
        <v>0</v>
      </c>
      <c r="CJ8">
        <v>2</v>
      </c>
      <c r="CK8" cm="1">
        <f t="array" ref="CK8">_xlfn.IFS(CJ8=$E$25, $F$25, CJ8=$E$26, $F$26, CJ8=$E$27, $F$27, CJ8=$E$28, $F$28, CJ8=$E$29, $F$29, CJ8=$E$30, $F$30, CJ8=$E$31, $F$31)</f>
        <v>0.25</v>
      </c>
      <c r="CL8">
        <f>1 - ((CK8-CI8)^2) + (1 *CI8)</f>
        <v>0.9375</v>
      </c>
      <c r="CM8" t="s">
        <v>62</v>
      </c>
      <c r="CN8">
        <v>0</v>
      </c>
      <c r="CO8">
        <v>2</v>
      </c>
      <c r="CP8" cm="1">
        <f t="array" ref="CP8">_xlfn.IFS(CO8=$E$25, $F$25, CO8=$E$26, $F$26, CO8=$E$27, $F$27, CO8=$E$28, $F$28, CO8=$E$29, $F$29, CO8=$E$30, $F$30, CO8=$E$31, $F$31)</f>
        <v>0.25</v>
      </c>
      <c r="CQ8">
        <f>1 - ((CP8-CN8)^2) + (1 *CN8)</f>
        <v>0.9375</v>
      </c>
      <c r="CR8" t="s">
        <v>97</v>
      </c>
      <c r="CS8">
        <v>0</v>
      </c>
      <c r="CT8">
        <v>1</v>
      </c>
      <c r="CU8" cm="1">
        <f t="array" ref="CU8">_xlfn.IFS(CT8=$E$25, $F$25, CT8=$E$26, $F$26, CT8=$E$27, $F$27, CT8=$E$28, $F$28, CT8=$E$29, $F$29, CT8=$E$30, $F$30, CT8=$E$31, $F$31)</f>
        <v>0.1</v>
      </c>
      <c r="CV8">
        <f>1 - ((CU8-CS8)^2) + (1 *CS8)</f>
        <v>0.99</v>
      </c>
      <c r="CW8" t="s">
        <v>231</v>
      </c>
      <c r="CX8">
        <v>0</v>
      </c>
      <c r="CY8">
        <v>4</v>
      </c>
      <c r="CZ8" cm="1">
        <f t="array" ref="CZ8">_xlfn.IFS(CY8=$E$25, $F$25, CY8=$E$26, $F$26, CY8=$E$27, $F$27, CY8=$E$28, $F$28, CY8=$E$29, $F$29, CY8=$E$30, $F$30, CY8=$E$31, $F$31)</f>
        <v>0.5</v>
      </c>
      <c r="DA8">
        <f>1 - ((CZ8-CX8)^2) + (1 *CX8)</f>
        <v>0.75</v>
      </c>
    </row>
    <row r="9" spans="1:105">
      <c r="A9" s="3">
        <v>45992.952627314815</v>
      </c>
      <c r="B9">
        <v>11</v>
      </c>
      <c r="C9" s="2">
        <f>ROUND(SUMIF($F$1:$CS$1, "Weighted Score", $F9:$CS9),2)</f>
        <v>25.43</v>
      </c>
      <c r="D9" t="s">
        <v>232</v>
      </c>
      <c r="E9" t="s">
        <v>233</v>
      </c>
      <c r="F9" t="s">
        <v>50</v>
      </c>
      <c r="G9">
        <v>0</v>
      </c>
      <c r="H9">
        <v>5</v>
      </c>
      <c r="I9" cm="1">
        <f t="array" ref="I9">_xlfn.IFS(H9=$E$25, $F$25, H9=$E$26, $F$26, H9=$E$27, $F$27, H9=$E$28, $F$28, H9=$E$29, $F$29, H9=$E$30, $F$30, H9=$E$31, $F$31)</f>
        <v>0.6</v>
      </c>
      <c r="J9">
        <f>1 - ((I9-G9)^2) + (1 *G9)</f>
        <v>0.64</v>
      </c>
      <c r="K9" t="s">
        <v>51</v>
      </c>
      <c r="L9">
        <v>1</v>
      </c>
      <c r="M9">
        <v>4</v>
      </c>
      <c r="N9" cm="1">
        <f t="array" ref="N9">_xlfn.IFS(M9=$E$25, $F$25, M9=$E$26, $F$26, M9=$E$27, $F$27, M9=$E$28, $F$28, M9=$E$29, $F$29, M9=$E$30, $F$30, M9=$E$31, $F$31)</f>
        <v>0.5</v>
      </c>
      <c r="O9">
        <f>1 - ((N9-L9)^2) + (1 *L9)</f>
        <v>1.75</v>
      </c>
      <c r="P9">
        <v>1980</v>
      </c>
      <c r="Q9">
        <v>0</v>
      </c>
      <c r="R9">
        <v>3</v>
      </c>
      <c r="S9" cm="1">
        <f t="array" ref="S9">_xlfn.IFS(R9=$E$25, $F$25, R9=$E$26, $F$26, R9=$E$27, $F$27, R9=$E$28, $F$28, R9=$E$29, $F$29, R9=$E$30, $F$30, R9=$E$31, $F$31)</f>
        <v>0.4</v>
      </c>
      <c r="T9">
        <f>1 - ((S9-Q9)^2) + (1 *Q9)</f>
        <v>0.84</v>
      </c>
      <c r="U9">
        <v>18</v>
      </c>
      <c r="V9">
        <v>1</v>
      </c>
      <c r="W9">
        <v>7</v>
      </c>
      <c r="X9" cm="1">
        <f t="array" ref="X9">_xlfn.IFS(W9=$E$25, $F$25, W9=$E$26, $F$26, W9=$E$27, $F$27, W9=$E$28, $F$28, W9=$E$29, $F$29, W9=$E$30, $F$30, W9=$E$31, $F$31)</f>
        <v>0.9</v>
      </c>
      <c r="Y9">
        <f>1 - ((X9-V9)^2) + (1 *V9)</f>
        <v>1.99</v>
      </c>
      <c r="Z9" s="1">
        <v>0.05</v>
      </c>
      <c r="AA9">
        <v>1</v>
      </c>
      <c r="AB9">
        <v>7</v>
      </c>
      <c r="AC9" cm="1">
        <f t="array" ref="AC9">_xlfn.IFS(AB9=$E$25, $F$25, AB9=$E$26, $F$26, AB9=$E$27, $F$27, AB9=$E$28, $F$28, AB9=$E$29, $F$29, AB9=$E$30, $F$30, AB9=$E$31, $F$31)</f>
        <v>0.9</v>
      </c>
      <c r="AD9">
        <f>1 - ((AC9-AA9)^2) + (1 *AA9)</f>
        <v>1.99</v>
      </c>
      <c r="AE9" s="1">
        <v>0.2</v>
      </c>
      <c r="AF9">
        <v>1</v>
      </c>
      <c r="AG9">
        <v>6</v>
      </c>
      <c r="AH9" cm="1">
        <f t="array" ref="AH9">_xlfn.IFS(AG9=$E$25, $F$25, AG9=$E$26, $F$26, AG9=$E$27, $F$27, AG9=$E$28, $F$28, AG9=$E$29, $F$29, AG9=$E$30, $F$30, AG9=$E$31, $F$31)</f>
        <v>0.75</v>
      </c>
      <c r="AI9">
        <f>1 - ((AH9-AF9)^2) + (1 *AF9)</f>
        <v>1.9375</v>
      </c>
      <c r="AJ9" t="s">
        <v>152</v>
      </c>
      <c r="AK9">
        <v>0</v>
      </c>
      <c r="AL9">
        <v>5</v>
      </c>
      <c r="AM9" cm="1">
        <f t="array" ref="AM9">_xlfn.IFS(AL9=$E$25, $F$25, AL9=$E$26, $F$26, AL9=$E$27, $F$27, AL9=$E$28, $F$28, AL9=$E$29, $F$29, AL9=$E$30, $F$30, AL9=$E$31, $F$31)</f>
        <v>0.6</v>
      </c>
      <c r="AN9">
        <f>1 - ((AM9-AK9)^2) + (1 *AK9)</f>
        <v>0.64</v>
      </c>
      <c r="AO9" t="s">
        <v>53</v>
      </c>
      <c r="AP9">
        <v>1</v>
      </c>
      <c r="AQ9">
        <v>6</v>
      </c>
      <c r="AR9" cm="1">
        <f t="array" ref="AR9">_xlfn.IFS(AQ9=$E$25, $F$25, AQ9=$E$26, $F$26, AQ9=$E$27, $F$27, AQ9=$E$28, $F$28, AQ9=$E$29, $F$29, AQ9=$E$30, $F$30, AQ9=$E$31, $F$31)</f>
        <v>0.75</v>
      </c>
      <c r="AS9">
        <f>1 - ((AR9-AP9)^2) + (1 *AP9)</f>
        <v>1.9375</v>
      </c>
      <c r="AT9" t="s">
        <v>91</v>
      </c>
      <c r="AU9">
        <v>0</v>
      </c>
      <c r="AV9">
        <v>3</v>
      </c>
      <c r="AW9" cm="1">
        <f t="array" ref="AW9">_xlfn.IFS(AV9=$E$25, $F$25, AV9=$E$26, $F$26, AV9=$E$27, $F$27, AV9=$E$28, $F$28, AV9=$E$29, $F$29, AV9=$E$30, $F$30, AV9=$E$31, $F$31)</f>
        <v>0.4</v>
      </c>
      <c r="AX9">
        <f>1 - ((AW9-AU9)^2) + (1 *AU9)</f>
        <v>0.84</v>
      </c>
      <c r="AY9" t="s">
        <v>221</v>
      </c>
      <c r="AZ9">
        <v>0</v>
      </c>
      <c r="BA9">
        <v>4</v>
      </c>
      <c r="BB9" cm="1">
        <f t="array" ref="BB9">_xlfn.IFS(BA9=$E$25, $F$25, BA9=$E$26, $F$26, BA9=$E$27, $F$27, BA9=$E$28, $F$28, BA9=$E$29, $F$29, BA9=$E$30, $F$30, BA9=$E$31, $F$31)</f>
        <v>0.5</v>
      </c>
      <c r="BC9">
        <f>1 - ((BB9-AZ9)^2) + (1 *AZ9)</f>
        <v>0.75</v>
      </c>
      <c r="BD9">
        <v>1946</v>
      </c>
      <c r="BE9">
        <v>0</v>
      </c>
      <c r="BF9">
        <v>1</v>
      </c>
      <c r="BG9" cm="1">
        <f t="array" ref="BG9">_xlfn.IFS(BF9=$E$25, $F$25, BF9=$E$26, $F$26, BF9=$E$27, $F$27, BF9=$E$28, $F$28, BF9=$E$29, $F$29, BF9=$E$30, $F$30, BF9=$E$31, $F$31)</f>
        <v>0.1</v>
      </c>
      <c r="BH9">
        <f>1 - ((BG9-BE9)^2) + (1 *BE9)</f>
        <v>0.99</v>
      </c>
      <c r="BI9" t="s">
        <v>80</v>
      </c>
      <c r="BJ9">
        <v>0</v>
      </c>
      <c r="BK9">
        <v>2</v>
      </c>
      <c r="BL9" cm="1">
        <f t="array" ref="BL9">_xlfn.IFS(BK9=$E$25, $F$25, BK9=$E$26, $F$26, BK9=$E$27, $F$27, BK9=$E$28, $F$28, BK9=$E$29, $F$29, BK9=$E$30, $F$30, BK9=$E$31, $F$31)</f>
        <v>0.25</v>
      </c>
      <c r="BM9">
        <f>1 - ((BL9-BJ9)^2) + (1 *BJ9)</f>
        <v>0.9375</v>
      </c>
      <c r="BN9" t="s">
        <v>88</v>
      </c>
      <c r="BO9">
        <v>1</v>
      </c>
      <c r="BP9">
        <v>6</v>
      </c>
      <c r="BQ9" cm="1">
        <f t="array" ref="BQ9">_xlfn.IFS(BP9=$E$25, $F$25, BP9=$E$26, $F$26, BP9=$E$27, $F$27, BP9=$E$28, $F$28, BP9=$E$29, $F$29, BP9=$E$30, $F$30, BP9=$E$31, $F$31)</f>
        <v>0.75</v>
      </c>
      <c r="BR9">
        <f>1 - ((BQ9-BO9)^2) + (1 *BO9)</f>
        <v>1.9375</v>
      </c>
      <c r="BS9" t="s">
        <v>119</v>
      </c>
      <c r="BT9">
        <v>0</v>
      </c>
      <c r="BU9">
        <v>5</v>
      </c>
      <c r="BV9" cm="1">
        <f t="array" ref="BV9">_xlfn.IFS(BU9=$E$25, $F$25, BU9=$E$26, $F$26, BU9=$E$27, $F$27, BU9=$E$28, $F$28, BU9=$E$29, $F$29, BU9=$E$30, $F$30, BU9=$E$31, $F$31)</f>
        <v>0.6</v>
      </c>
      <c r="BW9">
        <f>1 - ((BV9-BT9)^2) + (1 *BT9)</f>
        <v>0.64</v>
      </c>
      <c r="BX9" t="s">
        <v>60</v>
      </c>
      <c r="BY9">
        <v>1</v>
      </c>
      <c r="BZ9">
        <v>5</v>
      </c>
      <c r="CA9" cm="1">
        <f t="array" ref="CA9">_xlfn.IFS(BZ9=$E$25, $F$25, BZ9=$E$26, $F$26, BZ9=$E$27, $F$27, BZ9=$E$28, $F$28, BZ9=$E$29, $F$29, BZ9=$E$30, $F$30, BZ9=$E$31, $F$31)</f>
        <v>0.6</v>
      </c>
      <c r="CB9">
        <f>1 - ((CA9-BY9)^2) + (1 *BY9)</f>
        <v>1.8399999999999999</v>
      </c>
      <c r="CC9" t="s">
        <v>61</v>
      </c>
      <c r="CD9">
        <v>1</v>
      </c>
      <c r="CE9">
        <v>6</v>
      </c>
      <c r="CF9" cm="1">
        <f t="array" ref="CF9">_xlfn.IFS(CE9=$E$25, $F$25, CE9=$E$26, $F$26, CE9=$E$27, $F$27, CE9=$E$28, $F$28, CE9=$E$29, $F$29, CE9=$E$30, $F$30, CE9=$E$31, $F$31)</f>
        <v>0.75</v>
      </c>
      <c r="CG9">
        <f>1 - ((CF9-CD9)^2) + (1 *CD9)</f>
        <v>1.9375</v>
      </c>
      <c r="CH9">
        <v>1980</v>
      </c>
      <c r="CI9">
        <v>1</v>
      </c>
      <c r="CJ9">
        <v>5</v>
      </c>
      <c r="CK9" cm="1">
        <f t="array" ref="CK9">_xlfn.IFS(CJ9=$E$25, $F$25, CJ9=$E$26, $F$26, CJ9=$E$27, $F$27, CJ9=$E$28, $F$28, CJ9=$E$29, $F$29, CJ9=$E$30, $F$30, CJ9=$E$31, $F$31)</f>
        <v>0.6</v>
      </c>
      <c r="CL9">
        <f>1 - ((CK9-CI9)^2) + (1 *CI9)</f>
        <v>1.8399999999999999</v>
      </c>
      <c r="CM9" t="s">
        <v>134</v>
      </c>
      <c r="CN9">
        <v>1</v>
      </c>
      <c r="CO9">
        <v>7</v>
      </c>
      <c r="CP9" cm="1">
        <f t="array" ref="CP9">_xlfn.IFS(CO9=$E$25, $F$25, CO9=$E$26, $F$26, CO9=$E$27, $F$27, CO9=$E$28, $F$28, CO9=$E$29, $F$29, CO9=$E$30, $F$30, CO9=$E$31, $F$31)</f>
        <v>0.9</v>
      </c>
      <c r="CQ9">
        <f>1 - ((CP9-CN9)^2) + (1 *CN9)</f>
        <v>1.99</v>
      </c>
      <c r="CR9">
        <v>12</v>
      </c>
      <c r="CS9">
        <v>1</v>
      </c>
      <c r="CT9">
        <v>7</v>
      </c>
      <c r="CU9" cm="1">
        <f t="array" ref="CU9">_xlfn.IFS(CT9=$E$25, $F$25, CT9=$E$26, $F$26, CT9=$E$27, $F$27, CT9=$E$28, $F$28, CT9=$E$29, $F$29, CT9=$E$30, $F$30, CT9=$E$31, $F$31)</f>
        <v>0.9</v>
      </c>
      <c r="CV9">
        <f>1 - ((CU9-CS9)^2) + (1 *CS9)</f>
        <v>1.99</v>
      </c>
      <c r="CW9" t="s">
        <v>234</v>
      </c>
      <c r="CX9">
        <v>0</v>
      </c>
      <c r="CY9">
        <v>4</v>
      </c>
      <c r="CZ9" cm="1">
        <f t="array" ref="CZ9">_xlfn.IFS(CY9=$E$25, $F$25, CY9=$E$26, $F$26, CY9=$E$27, $F$27, CY9=$E$28, $F$28, CY9=$E$29, $F$29, CY9=$E$30, $F$30, CY9=$E$31, $F$31)</f>
        <v>0.5</v>
      </c>
      <c r="DA9">
        <f>1 - ((CZ9-CX9)^2) + (1 *CX9)</f>
        <v>0.75</v>
      </c>
    </row>
    <row r="10" spans="1:105">
      <c r="A10" s="3">
        <v>45993.55190972222</v>
      </c>
      <c r="B10">
        <v>6</v>
      </c>
      <c r="C10" s="2">
        <f>ROUND(SUMIF($F$1:$CS$1, "Weighted Score", $F10:$CS10),2)</f>
        <v>20.420000000000002</v>
      </c>
      <c r="D10" t="s">
        <v>235</v>
      </c>
      <c r="E10" t="s">
        <v>236</v>
      </c>
      <c r="F10" t="s">
        <v>103</v>
      </c>
      <c r="G10">
        <v>0</v>
      </c>
      <c r="H10">
        <v>6</v>
      </c>
      <c r="I10" cm="1">
        <f t="array" ref="I10">_xlfn.IFS(H10=$E$25, $F$25, H10=$E$26, $F$26, H10=$E$27, $F$27, H10=$E$28, $F$28, H10=$E$29, $F$29, H10=$E$30, $F$30, H10=$E$31, $F$31)</f>
        <v>0.75</v>
      </c>
      <c r="J10">
        <f>1 - ((I10-G10)^2) + (1 *G10)</f>
        <v>0.4375</v>
      </c>
      <c r="K10" t="s">
        <v>51</v>
      </c>
      <c r="L10">
        <v>1</v>
      </c>
      <c r="M10">
        <v>5</v>
      </c>
      <c r="N10" cm="1">
        <f t="array" ref="N10">_xlfn.IFS(M10=$E$25, $F$25, M10=$E$26, $F$26, M10=$E$27, $F$27, M10=$E$28, $F$28, M10=$E$29, $F$29, M10=$E$30, $F$30, M10=$E$31, $F$31)</f>
        <v>0.6</v>
      </c>
      <c r="O10">
        <f>1 - ((N10-L10)^2) + (1 *L10)</f>
        <v>1.8399999999999999</v>
      </c>
      <c r="P10">
        <v>1989</v>
      </c>
      <c r="Q10">
        <v>0</v>
      </c>
      <c r="R10">
        <v>1</v>
      </c>
      <c r="S10" cm="1">
        <f t="array" ref="S10">_xlfn.IFS(R10=$E$25, $F$25, R10=$E$26, $F$26, R10=$E$27, $F$27, R10=$E$28, $F$28, R10=$E$29, $F$29, R10=$E$30, $F$30, R10=$E$31, $F$31)</f>
        <v>0.1</v>
      </c>
      <c r="T10">
        <f>1 - ((S10-Q10)^2) + (1 *Q10)</f>
        <v>0.99</v>
      </c>
      <c r="U10">
        <v>18</v>
      </c>
      <c r="V10">
        <v>1</v>
      </c>
      <c r="W10">
        <v>7</v>
      </c>
      <c r="X10" cm="1">
        <f t="array" ref="X10">_xlfn.IFS(W10=$E$25, $F$25, W10=$E$26, $F$26, W10=$E$27, $F$27, W10=$E$28, $F$28, W10=$E$29, $F$29, W10=$E$30, $F$30, W10=$E$31, $F$31)</f>
        <v>0.9</v>
      </c>
      <c r="Y10">
        <f>1 - ((X10-V10)^2) + (1 *V10)</f>
        <v>1.99</v>
      </c>
      <c r="Z10" s="1">
        <v>0.92</v>
      </c>
      <c r="AA10">
        <v>0</v>
      </c>
      <c r="AB10">
        <v>5</v>
      </c>
      <c r="AC10" cm="1">
        <f t="array" ref="AC10">_xlfn.IFS(AB10=$E$25, $F$25, AB10=$E$26, $F$26, AB10=$E$27, $F$27, AB10=$E$28, $F$28, AB10=$E$29, $F$29, AB10=$E$30, $F$30, AB10=$E$31, $F$31)</f>
        <v>0.6</v>
      </c>
      <c r="AD10">
        <f>1 - ((AC10-AA10)^2) + (1 *AA10)</f>
        <v>0.64</v>
      </c>
      <c r="AE10" s="1">
        <v>0.22</v>
      </c>
      <c r="AF10">
        <v>0</v>
      </c>
      <c r="AG10">
        <v>3</v>
      </c>
      <c r="AH10" cm="1">
        <f t="array" ref="AH10">_xlfn.IFS(AG10=$E$25, $F$25, AG10=$E$26, $F$26, AG10=$E$27, $F$27, AG10=$E$28, $F$28, AG10=$E$29, $F$29, AG10=$E$30, $F$30, AG10=$E$31, $F$31)</f>
        <v>0.4</v>
      </c>
      <c r="AI10">
        <f>1 - ((AH10-AF10)^2) + (1 *AF10)</f>
        <v>0.84</v>
      </c>
      <c r="AJ10" t="s">
        <v>152</v>
      </c>
      <c r="AK10">
        <v>0</v>
      </c>
      <c r="AL10">
        <v>5</v>
      </c>
      <c r="AM10" cm="1">
        <f t="array" ref="AM10">_xlfn.IFS(AL10=$E$25, $F$25, AL10=$E$26, $F$26, AL10=$E$27, $F$27, AL10=$E$28, $F$28, AL10=$E$29, $F$29, AL10=$E$30, $F$30, AL10=$E$31, $F$31)</f>
        <v>0.6</v>
      </c>
      <c r="AN10">
        <f>1 - ((AM10-AK10)^2) + (1 *AK10)</f>
        <v>0.64</v>
      </c>
      <c r="AO10" t="s">
        <v>67</v>
      </c>
      <c r="AP10">
        <v>0</v>
      </c>
      <c r="AQ10">
        <v>6</v>
      </c>
      <c r="AR10" cm="1">
        <f t="array" ref="AR10">_xlfn.IFS(AQ10=$E$25, $F$25, AQ10=$E$26, $F$26, AQ10=$E$27, $F$27, AQ10=$E$28, $F$28, AQ10=$E$29, $F$29, AQ10=$E$30, $F$30, AQ10=$E$31, $F$31)</f>
        <v>0.75</v>
      </c>
      <c r="AS10">
        <f>1 - ((AR10-AP10)^2) + (1 *AP10)</f>
        <v>0.4375</v>
      </c>
      <c r="AT10" t="s">
        <v>78</v>
      </c>
      <c r="AU10">
        <v>0</v>
      </c>
      <c r="AV10">
        <v>3</v>
      </c>
      <c r="AW10" cm="1">
        <f t="array" ref="AW10">_xlfn.IFS(AV10=$E$25, $F$25, AV10=$E$26, $F$26, AV10=$E$27, $F$27, AV10=$E$28, $F$28, AV10=$E$29, $F$29, AV10=$E$30, $F$30, AV10=$E$31, $F$31)</f>
        <v>0.4</v>
      </c>
      <c r="AX10">
        <f>1 - ((AW10-AU10)^2) + (1 *AU10)</f>
        <v>0.84</v>
      </c>
      <c r="AY10" t="s">
        <v>221</v>
      </c>
      <c r="AZ10">
        <v>0</v>
      </c>
      <c r="BA10">
        <v>5</v>
      </c>
      <c r="BB10" cm="1">
        <f t="array" ref="BB10">_xlfn.IFS(BA10=$E$25, $F$25, BA10=$E$26, $F$26, BA10=$E$27, $F$27, BA10=$E$28, $F$28, BA10=$E$29, $F$29, BA10=$E$30, $F$30, BA10=$E$31, $F$31)</f>
        <v>0.6</v>
      </c>
      <c r="BC10">
        <f>1 - ((BB10-AZ10)^2) + (1 *AZ10)</f>
        <v>0.64</v>
      </c>
      <c r="BD10" t="s">
        <v>237</v>
      </c>
      <c r="BE10">
        <v>0</v>
      </c>
      <c r="BF10">
        <v>1</v>
      </c>
      <c r="BG10" cm="1">
        <f t="array" ref="BG10">_xlfn.IFS(BF10=$E$25, $F$25, BF10=$E$26, $F$26, BF10=$E$27, $F$27, BF10=$E$28, $F$28, BF10=$E$29, $F$29, BF10=$E$30, $F$30, BF10=$E$31, $F$31)</f>
        <v>0.1</v>
      </c>
      <c r="BH10">
        <f>1 - ((BG10-BE10)^2) + (1 *BE10)</f>
        <v>0.99</v>
      </c>
      <c r="BI10" t="s">
        <v>237</v>
      </c>
      <c r="BJ10">
        <v>0</v>
      </c>
      <c r="BK10">
        <v>1</v>
      </c>
      <c r="BL10" cm="1">
        <f t="array" ref="BL10">_xlfn.IFS(BK10=$E$25, $F$25, BK10=$E$26, $F$26, BK10=$E$27, $F$27, BK10=$E$28, $F$28, BK10=$E$29, $F$29, BK10=$E$30, $F$30, BK10=$E$31, $F$31)</f>
        <v>0.1</v>
      </c>
      <c r="BM10">
        <f>1 - ((BL10-BJ10)^2) + (1 *BJ10)</f>
        <v>0.99</v>
      </c>
      <c r="BN10" t="s">
        <v>88</v>
      </c>
      <c r="BO10">
        <v>1</v>
      </c>
      <c r="BP10">
        <v>7</v>
      </c>
      <c r="BQ10" cm="1">
        <f t="array" ref="BQ10">_xlfn.IFS(BP10=$E$25, $F$25, BP10=$E$26, $F$26, BP10=$E$27, $F$27, BP10=$E$28, $F$28, BP10=$E$29, $F$29, BP10=$E$30, $F$30, BP10=$E$31, $F$31)</f>
        <v>0.9</v>
      </c>
      <c r="BR10">
        <f>1 - ((BQ10-BO10)^2) + (1 *BO10)</f>
        <v>1.99</v>
      </c>
      <c r="BS10" t="s">
        <v>59</v>
      </c>
      <c r="BT10">
        <v>0</v>
      </c>
      <c r="BU10">
        <v>5</v>
      </c>
      <c r="BV10" cm="1">
        <f t="array" ref="BV10">_xlfn.IFS(BU10=$E$25, $F$25, BU10=$E$26, $F$26, BU10=$E$27, $F$27, BU10=$E$28, $F$28, BU10=$E$29, $F$29, BU10=$E$30, $F$30, BU10=$E$31, $F$31)</f>
        <v>0.6</v>
      </c>
      <c r="BW10">
        <f>1 - ((BV10-BT10)^2) + (1 *BT10)</f>
        <v>0.64</v>
      </c>
      <c r="BX10" t="s">
        <v>60</v>
      </c>
      <c r="BY10">
        <v>1</v>
      </c>
      <c r="BZ10">
        <v>6</v>
      </c>
      <c r="CA10" cm="1">
        <f t="array" ref="CA10">_xlfn.IFS(BZ10=$E$25, $F$25, BZ10=$E$26, $F$26, BZ10=$E$27, $F$27, BZ10=$E$28, $F$28, BZ10=$E$29, $F$29, BZ10=$E$30, $F$30, BZ10=$E$31, $F$31)</f>
        <v>0.75</v>
      </c>
      <c r="CB10">
        <f>1 - ((CA10-BY10)^2) + (1 *BY10)</f>
        <v>1.9375</v>
      </c>
      <c r="CC10" t="s">
        <v>61</v>
      </c>
      <c r="CD10">
        <v>1</v>
      </c>
      <c r="CE10">
        <v>7</v>
      </c>
      <c r="CF10" cm="1">
        <f t="array" ref="CF10">_xlfn.IFS(CE10=$E$25, $F$25, CE10=$E$26, $F$26, CE10=$E$27, $F$27, CE10=$E$28, $F$28, CE10=$E$29, $F$29, CE10=$E$30, $F$30, CE10=$E$31, $F$31)</f>
        <v>0.9</v>
      </c>
      <c r="CG10">
        <f>1 - ((CF10-CD10)^2) + (1 *CD10)</f>
        <v>1.99</v>
      </c>
      <c r="CH10">
        <v>1990</v>
      </c>
      <c r="CI10">
        <v>0</v>
      </c>
      <c r="CJ10">
        <v>3</v>
      </c>
      <c r="CK10" cm="1">
        <f t="array" ref="CK10">_xlfn.IFS(CJ10=$E$25, $F$25, CJ10=$E$26, $F$26, CJ10=$E$27, $F$27, CJ10=$E$28, $F$28, CJ10=$E$29, $F$29, CJ10=$E$30, $F$30, CJ10=$E$31, $F$31)</f>
        <v>0.4</v>
      </c>
      <c r="CL10">
        <f>1 - ((CK10-CI10)^2) + (1 *CI10)</f>
        <v>0.84</v>
      </c>
      <c r="CM10" t="s">
        <v>134</v>
      </c>
      <c r="CN10">
        <v>1</v>
      </c>
      <c r="CO10">
        <v>4</v>
      </c>
      <c r="CP10" cm="1">
        <f t="array" ref="CP10">_xlfn.IFS(CO10=$E$25, $F$25, CO10=$E$26, $F$26, CO10=$E$27, $F$27, CO10=$E$28, $F$28, CO10=$E$29, $F$29, CO10=$E$30, $F$30, CO10=$E$31, $F$31)</f>
        <v>0.5</v>
      </c>
      <c r="CQ10">
        <f>1 - ((CP10-CN10)^2) + (1 *CN10)</f>
        <v>1.75</v>
      </c>
      <c r="CR10" t="s">
        <v>237</v>
      </c>
      <c r="CS10">
        <v>0</v>
      </c>
      <c r="CT10">
        <v>1</v>
      </c>
      <c r="CU10" cm="1">
        <f t="array" ref="CU10">_xlfn.IFS(CT10=$E$25, $F$25, CT10=$E$26, $F$26, CT10=$E$27, $F$27, CT10=$E$28, $F$28, CT10=$E$29, $F$29, CT10=$E$30, $F$30, CT10=$E$31, $F$31)</f>
        <v>0.1</v>
      </c>
      <c r="CV10">
        <f>1 - ((CU10-CS10)^2) + (1 *CS10)</f>
        <v>0.99</v>
      </c>
      <c r="CW10" t="s">
        <v>238</v>
      </c>
      <c r="CX10">
        <v>0</v>
      </c>
      <c r="CY10">
        <v>2</v>
      </c>
      <c r="CZ10" cm="1">
        <f t="array" ref="CZ10">_xlfn.IFS(CY10=$E$25, $F$25, CY10=$E$26, $F$26, CY10=$E$27, $F$27, CY10=$E$28, $F$28, CY10=$E$29, $F$29, CY10=$E$30, $F$30, CY10=$E$31, $F$31)</f>
        <v>0.25</v>
      </c>
      <c r="DA10">
        <f>1 - ((CZ10-CX10)^2) + (1 *CX10)</f>
        <v>0.9375</v>
      </c>
    </row>
    <row r="11" spans="1:105">
      <c r="A11" s="3">
        <v>45993.551990740743</v>
      </c>
      <c r="B11">
        <v>10</v>
      </c>
      <c r="C11" s="2">
        <f>ROUND(SUMIF($F$1:$CS$1, "Weighted Score", $F11:$CS11),2)</f>
        <v>24.63</v>
      </c>
      <c r="D11" t="s">
        <v>239</v>
      </c>
      <c r="E11" t="s">
        <v>240</v>
      </c>
      <c r="F11" t="s">
        <v>85</v>
      </c>
      <c r="G11">
        <v>1</v>
      </c>
      <c r="H11">
        <v>7</v>
      </c>
      <c r="I11" cm="1">
        <f t="array" ref="I11">_xlfn.IFS(H11=$E$25, $F$25, H11=$E$26, $F$26, H11=$E$27, $F$27, H11=$E$28, $F$28, H11=$E$29, $F$29, H11=$E$30, $F$30, H11=$E$31, $F$31)</f>
        <v>0.9</v>
      </c>
      <c r="J11">
        <f>1 - ((I11-G11)^2) + (1 *G11)</f>
        <v>1.99</v>
      </c>
      <c r="K11" t="s">
        <v>51</v>
      </c>
      <c r="L11">
        <v>1</v>
      </c>
      <c r="M11">
        <v>5</v>
      </c>
      <c r="N11" cm="1">
        <f t="array" ref="N11">_xlfn.IFS(M11=$E$25, $F$25, M11=$E$26, $F$26, M11=$E$27, $F$27, M11=$E$28, $F$28, M11=$E$29, $F$29, M11=$E$30, $F$30, M11=$E$31, $F$31)</f>
        <v>0.6</v>
      </c>
      <c r="O11">
        <f>1 - ((N11-L11)^2) + (1 *L11)</f>
        <v>1.8399999999999999</v>
      </c>
      <c r="P11">
        <v>1990</v>
      </c>
      <c r="Q11">
        <v>0</v>
      </c>
      <c r="R11">
        <v>4</v>
      </c>
      <c r="S11" cm="1">
        <f t="array" ref="S11">_xlfn.IFS(R11=$E$25, $F$25, R11=$E$26, $F$26, R11=$E$27, $F$27, R11=$E$28, $F$28, R11=$E$29, $F$29, R11=$E$30, $F$30, R11=$E$31, $F$31)</f>
        <v>0.5</v>
      </c>
      <c r="T11">
        <f>1 - ((S11-Q11)^2) + (1 *Q11)</f>
        <v>0.75</v>
      </c>
      <c r="U11">
        <v>18</v>
      </c>
      <c r="V11">
        <v>1</v>
      </c>
      <c r="W11">
        <v>7</v>
      </c>
      <c r="X11" cm="1">
        <f t="array" ref="X11">_xlfn.IFS(W11=$E$25, $F$25, W11=$E$26, $F$26, W11=$E$27, $F$27, W11=$E$28, $F$28, W11=$E$29, $F$29, W11=$E$30, $F$30, W11=$E$31, $F$31)</f>
        <v>0.9</v>
      </c>
      <c r="Y11">
        <f>1 - ((X11-V11)^2) + (1 *V11)</f>
        <v>1.99</v>
      </c>
      <c r="Z11">
        <v>10</v>
      </c>
      <c r="AA11">
        <v>0</v>
      </c>
      <c r="AB11">
        <v>7</v>
      </c>
      <c r="AC11" cm="1">
        <f t="array" ref="AC11">_xlfn.IFS(AB11=$E$25, $F$25, AB11=$E$26, $F$26, AB11=$E$27, $F$27, AB11=$E$28, $F$28, AB11=$E$29, $F$29, AB11=$E$30, $F$30, AB11=$E$31, $F$31)</f>
        <v>0.9</v>
      </c>
      <c r="AD11">
        <f>1 - ((AC11-AA11)^2) + (1 *AA11)</f>
        <v>0.18999999999999995</v>
      </c>
      <c r="AE11" s="1">
        <v>0.2</v>
      </c>
      <c r="AF11">
        <v>1</v>
      </c>
      <c r="AG11">
        <v>7</v>
      </c>
      <c r="AH11" cm="1">
        <f t="array" ref="AH11">_xlfn.IFS(AG11=$E$25, $F$25, AG11=$E$26, $F$26, AG11=$E$27, $F$27, AG11=$E$28, $F$28, AG11=$E$29, $F$29, AG11=$E$30, $F$30, AG11=$E$31, $F$31)</f>
        <v>0.9</v>
      </c>
      <c r="AI11">
        <f>1 - ((AH11-AF11)^2) + (1 *AF11)</f>
        <v>1.99</v>
      </c>
      <c r="AJ11" t="s">
        <v>122</v>
      </c>
      <c r="AK11">
        <v>0</v>
      </c>
      <c r="AL11">
        <v>1</v>
      </c>
      <c r="AM11" cm="1">
        <f t="array" ref="AM11">_xlfn.IFS(AL11=$E$25, $F$25, AL11=$E$26, $F$26, AL11=$E$27, $F$27, AL11=$E$28, $F$28, AL11=$E$29, $F$29, AL11=$E$30, $F$30, AL11=$E$31, $F$31)</f>
        <v>0.1</v>
      </c>
      <c r="AN11">
        <f>1 - ((AM11-AK11)^2) + (1 *AK11)</f>
        <v>0.99</v>
      </c>
      <c r="AO11" t="s">
        <v>53</v>
      </c>
      <c r="AP11">
        <v>1</v>
      </c>
      <c r="AQ11">
        <v>3</v>
      </c>
      <c r="AR11" cm="1">
        <f t="array" ref="AR11">_xlfn.IFS(AQ11=$E$25, $F$25, AQ11=$E$26, $F$26, AQ11=$E$27, $F$27, AQ11=$E$28, $F$28, AQ11=$E$29, $F$29, AQ11=$E$30, $F$30, AQ11=$E$31, $F$31)</f>
        <v>0.4</v>
      </c>
      <c r="AS11">
        <f>1 - ((AR11-AP11)^2) + (1 *AP11)</f>
        <v>1.6400000000000001</v>
      </c>
      <c r="AT11" t="s">
        <v>54</v>
      </c>
      <c r="AU11">
        <v>1</v>
      </c>
      <c r="AV11">
        <v>6</v>
      </c>
      <c r="AW11" cm="1">
        <f t="array" ref="AW11">_xlfn.IFS(AV11=$E$25, $F$25, AV11=$E$26, $F$26, AV11=$E$27, $F$27, AV11=$E$28, $F$28, AV11=$E$29, $F$29, AV11=$E$30, $F$30, AV11=$E$31, $F$31)</f>
        <v>0.75</v>
      </c>
      <c r="AX11">
        <f>1 - ((AW11-AU11)^2) + (1 *AU11)</f>
        <v>1.9375</v>
      </c>
      <c r="AY11" t="s">
        <v>55</v>
      </c>
      <c r="AZ11">
        <v>0</v>
      </c>
      <c r="BA11">
        <v>7</v>
      </c>
      <c r="BB11" cm="1">
        <f t="array" ref="BB11">_xlfn.IFS(BA11=$E$25, $F$25, BA11=$E$26, $F$26, BA11=$E$27, $F$27, BA11=$E$28, $F$28, BA11=$E$29, $F$29, BA11=$E$30, $F$30, BA11=$E$31, $F$31)</f>
        <v>0.9</v>
      </c>
      <c r="BC11">
        <f>1 - ((BB11-AZ11)^2) + (1 *AZ11)</f>
        <v>0.18999999999999995</v>
      </c>
      <c r="BD11">
        <v>1900</v>
      </c>
      <c r="BE11">
        <v>0</v>
      </c>
      <c r="BF11">
        <v>1</v>
      </c>
      <c r="BG11" cm="1">
        <f t="array" ref="BG11">_xlfn.IFS(BF11=$E$25, $F$25, BF11=$E$26, $F$26, BF11=$E$27, $F$27, BF11=$E$28, $F$28, BF11=$E$29, $F$29, BF11=$E$30, $F$30, BF11=$E$31, $F$31)</f>
        <v>0.1</v>
      </c>
      <c r="BH11">
        <f>1 - ((BG11-BE11)^2) + (1 *BE11)</f>
        <v>0.99</v>
      </c>
      <c r="BI11" t="s">
        <v>241</v>
      </c>
      <c r="BJ11">
        <v>0</v>
      </c>
      <c r="BK11">
        <v>1</v>
      </c>
      <c r="BL11" cm="1">
        <f t="array" ref="BL11">_xlfn.IFS(BK11=$E$25, $F$25, BK11=$E$26, $F$26, BK11=$E$27, $F$27, BK11=$E$28, $F$28, BK11=$E$29, $F$29, BK11=$E$30, $F$30, BK11=$E$31, $F$31)</f>
        <v>0.1</v>
      </c>
      <c r="BM11">
        <f>1 - ((BL11-BJ11)^2) + (1 *BJ11)</f>
        <v>0.99</v>
      </c>
      <c r="BN11" t="s">
        <v>88</v>
      </c>
      <c r="BO11">
        <v>1</v>
      </c>
      <c r="BP11">
        <v>7</v>
      </c>
      <c r="BQ11" cm="1">
        <f t="array" ref="BQ11">_xlfn.IFS(BP11=$E$25, $F$25, BP11=$E$26, $F$26, BP11=$E$27, $F$27, BP11=$E$28, $F$28, BP11=$E$29, $F$29, BP11=$E$30, $F$30, BP11=$E$31, $F$31)</f>
        <v>0.9</v>
      </c>
      <c r="BR11">
        <f>1 - ((BQ11-BO11)^2) + (1 *BO11)</f>
        <v>1.99</v>
      </c>
      <c r="BS11" t="s">
        <v>119</v>
      </c>
      <c r="BT11">
        <v>0</v>
      </c>
      <c r="BU11">
        <v>7</v>
      </c>
      <c r="BV11" cm="1">
        <f t="array" ref="BV11">_xlfn.IFS(BU11=$E$25, $F$25, BU11=$E$26, $F$26, BU11=$E$27, $F$27, BU11=$E$28, $F$28, BU11=$E$29, $F$29, BU11=$E$30, $F$30, BU11=$E$31, $F$31)</f>
        <v>0.9</v>
      </c>
      <c r="BW11">
        <f>1 - ((BV11-BT11)^2) + (1 *BT11)</f>
        <v>0.18999999999999995</v>
      </c>
      <c r="BX11" t="s">
        <v>60</v>
      </c>
      <c r="BY11">
        <v>1</v>
      </c>
      <c r="BZ11">
        <v>7</v>
      </c>
      <c r="CA11" cm="1">
        <f t="array" ref="CA11">_xlfn.IFS(BZ11=$E$25, $F$25, BZ11=$E$26, $F$26, BZ11=$E$27, $F$27, BZ11=$E$28, $F$28, BZ11=$E$29, $F$29, BZ11=$E$30, $F$30, BZ11=$E$31, $F$31)</f>
        <v>0.9</v>
      </c>
      <c r="CB11">
        <f>1 - ((CA11-BY11)^2) + (1 *BY11)</f>
        <v>1.99</v>
      </c>
      <c r="CC11" t="s">
        <v>61</v>
      </c>
      <c r="CD11">
        <v>1</v>
      </c>
      <c r="CE11">
        <v>7</v>
      </c>
      <c r="CF11" cm="1">
        <f t="array" ref="CF11">_xlfn.IFS(CE11=$E$25, $F$25, CE11=$E$26, $F$26, CE11=$E$27, $F$27, CE11=$E$28, $F$28, CE11=$E$29, $F$29, CE11=$E$30, $F$30, CE11=$E$31, $F$31)</f>
        <v>0.9</v>
      </c>
      <c r="CG11">
        <f>1 - ((CF11-CD11)^2) + (1 *CD11)</f>
        <v>1.99</v>
      </c>
      <c r="CH11">
        <v>1980</v>
      </c>
      <c r="CI11">
        <v>1</v>
      </c>
      <c r="CJ11">
        <v>7</v>
      </c>
      <c r="CK11" cm="1">
        <f t="array" ref="CK11">_xlfn.IFS(CJ11=$E$25, $F$25, CJ11=$E$26, $F$26, CJ11=$E$27, $F$27, CJ11=$E$28, $F$28, CJ11=$E$29, $F$29, CJ11=$E$30, $F$30, CJ11=$E$31, $F$31)</f>
        <v>0.9</v>
      </c>
      <c r="CL11">
        <f>1 - ((CK11-CI11)^2) + (1 *CI11)</f>
        <v>1.99</v>
      </c>
      <c r="CM11" t="s">
        <v>99</v>
      </c>
      <c r="CN11">
        <v>0</v>
      </c>
      <c r="CO11">
        <v>1</v>
      </c>
      <c r="CP11" cm="1">
        <f t="array" ref="CP11">_xlfn.IFS(CO11=$E$25, $F$25, CO11=$E$26, $F$26, CO11=$E$27, $F$27, CO11=$E$28, $F$28, CO11=$E$29, $F$29, CO11=$E$30, $F$30, CO11=$E$31, $F$31)</f>
        <v>0.1</v>
      </c>
      <c r="CQ11">
        <f>1 - ((CP11-CN11)^2) + (1 *CN11)</f>
        <v>0.99</v>
      </c>
      <c r="CR11">
        <v>4</v>
      </c>
      <c r="CS11">
        <v>0</v>
      </c>
      <c r="CT11">
        <v>1</v>
      </c>
      <c r="CU11" cm="1">
        <f t="array" ref="CU11">_xlfn.IFS(CT11=$E$25, $F$25, CT11=$E$26, $F$26, CT11=$E$27, $F$27, CT11=$E$28, $F$28, CT11=$E$29, $F$29, CT11=$E$30, $F$30, CT11=$E$31, $F$31)</f>
        <v>0.1</v>
      </c>
      <c r="CV11">
        <f>1 - ((CU11-CS11)^2) + (1 *CS11)</f>
        <v>0.99</v>
      </c>
      <c r="CW11" t="s">
        <v>242</v>
      </c>
      <c r="CX11">
        <v>0</v>
      </c>
      <c r="CY11">
        <v>3</v>
      </c>
      <c r="CZ11" cm="1">
        <f t="array" ref="CZ11">_xlfn.IFS(CY11=$E$25, $F$25, CY11=$E$26, $F$26, CY11=$E$27, $F$27, CY11=$E$28, $F$28, CY11=$E$29, $F$29, CY11=$E$30, $F$30, CY11=$E$31, $F$31)</f>
        <v>0.4</v>
      </c>
      <c r="DA11">
        <f>1 - ((CZ11-CX11)^2) + (1 *CX11)</f>
        <v>0.84</v>
      </c>
    </row>
    <row r="12" spans="1:105">
      <c r="A12" s="3">
        <v>45994.704687500001</v>
      </c>
      <c r="B12">
        <v>13</v>
      </c>
      <c r="C12" s="2">
        <f>ROUND(SUMIF($F$1:$CS$1, "Weighted Score", $F12:$CS12),2)</f>
        <v>25.11</v>
      </c>
      <c r="D12" t="s">
        <v>243</v>
      </c>
      <c r="E12" t="s">
        <v>244</v>
      </c>
      <c r="F12" t="s">
        <v>85</v>
      </c>
      <c r="G12">
        <v>1</v>
      </c>
      <c r="H12">
        <v>6</v>
      </c>
      <c r="I12" cm="1">
        <f t="array" ref="I12">_xlfn.IFS(H12=$E$25, $F$25, H12=$E$26, $F$26, H12=$E$27, $F$27, H12=$E$28, $F$28, H12=$E$29, $F$29, H12=$E$30, $F$30, H12=$E$31, $F$31)</f>
        <v>0.75</v>
      </c>
      <c r="J12">
        <f>1 - ((I12-G12)^2) + (1 *G12)</f>
        <v>1.9375</v>
      </c>
      <c r="K12" t="s">
        <v>51</v>
      </c>
      <c r="L12">
        <v>1</v>
      </c>
      <c r="M12">
        <v>6</v>
      </c>
      <c r="N12" cm="1">
        <f t="array" ref="N12">_xlfn.IFS(M12=$E$25, $F$25, M12=$E$26, $F$26, M12=$E$27, $F$27, M12=$E$28, $F$28, M12=$E$29, $F$29, M12=$E$30, $F$30, M12=$E$31, $F$31)</f>
        <v>0.75</v>
      </c>
      <c r="O12">
        <f>1 - ((N12-L12)^2) + (1 *L12)</f>
        <v>1.9375</v>
      </c>
      <c r="P12">
        <v>1998</v>
      </c>
      <c r="Q12">
        <v>1</v>
      </c>
      <c r="R12">
        <v>3</v>
      </c>
      <c r="S12" cm="1">
        <f t="array" ref="S12">_xlfn.IFS(R12=$E$25, $F$25, R12=$E$26, $F$26, R12=$E$27, $F$27, R12=$E$28, $F$28, R12=$E$29, $F$29, R12=$E$30, $F$30, R12=$E$31, $F$31)</f>
        <v>0.4</v>
      </c>
      <c r="T12">
        <f>1 - ((S12-Q12)^2) + (1 *Q12)</f>
        <v>1.6400000000000001</v>
      </c>
      <c r="U12">
        <v>18</v>
      </c>
      <c r="V12">
        <v>1</v>
      </c>
      <c r="W12">
        <v>1</v>
      </c>
      <c r="X12" cm="1">
        <f t="array" ref="X12">_xlfn.IFS(W12=$E$25, $F$25, W12=$E$26, $F$26, W12=$E$27, $F$27, W12=$E$28, $F$28, W12=$E$29, $F$29, W12=$E$30, $F$30, W12=$E$31, $F$31)</f>
        <v>0.1</v>
      </c>
      <c r="Y12">
        <f>1 - ((X12-V12)^2) + (1 *V12)</f>
        <v>1.19</v>
      </c>
      <c r="Z12">
        <v>5</v>
      </c>
      <c r="AA12">
        <v>1</v>
      </c>
      <c r="AB12">
        <v>1</v>
      </c>
      <c r="AC12" cm="1">
        <f t="array" ref="AC12">_xlfn.IFS(AB12=$E$25, $F$25, AB12=$E$26, $F$26, AB12=$E$27, $F$27, AB12=$E$28, $F$28, AB12=$E$29, $F$29, AB12=$E$30, $F$30, AB12=$E$31, $F$31)</f>
        <v>0.1</v>
      </c>
      <c r="AD12">
        <f>1 - ((AC12-AA12)^2) + (1 *AA12)</f>
        <v>1.19</v>
      </c>
      <c r="AE12" s="1">
        <v>0.2</v>
      </c>
      <c r="AF12">
        <v>1</v>
      </c>
      <c r="AG12">
        <v>1</v>
      </c>
      <c r="AH12" cm="1">
        <f t="array" ref="AH12">_xlfn.IFS(AG12=$E$25, $F$25, AG12=$E$26, $F$26, AG12=$E$27, $F$27, AG12=$E$28, $F$28, AG12=$E$29, $F$29, AG12=$E$30, $F$30, AG12=$E$31, $F$31)</f>
        <v>0.1</v>
      </c>
      <c r="AI12">
        <f>1 - ((AH12-AF12)^2) + (1 *AF12)</f>
        <v>1.19</v>
      </c>
      <c r="AJ12" t="s">
        <v>152</v>
      </c>
      <c r="AK12">
        <v>0</v>
      </c>
      <c r="AL12">
        <v>1</v>
      </c>
      <c r="AM12" cm="1">
        <f t="array" ref="AM12">_xlfn.IFS(AL12=$E$25, $F$25, AL12=$E$26, $F$26, AL12=$E$27, $F$27, AL12=$E$28, $F$28, AL12=$E$29, $F$29, AL12=$E$30, $F$30, AL12=$E$31, $F$31)</f>
        <v>0.1</v>
      </c>
      <c r="AN12">
        <f>1 - ((AM12-AK12)^2) + (1 *AK12)</f>
        <v>0.99</v>
      </c>
      <c r="AO12" t="s">
        <v>109</v>
      </c>
      <c r="AP12">
        <v>0</v>
      </c>
      <c r="AQ12">
        <v>1</v>
      </c>
      <c r="AR12" cm="1">
        <f t="array" ref="AR12">_xlfn.IFS(AQ12=$E$25, $F$25, AQ12=$E$26, $F$26, AQ12=$E$27, $F$27, AQ12=$E$28, $F$28, AQ12=$E$29, $F$29, AQ12=$E$30, $F$30, AQ12=$E$31, $F$31)</f>
        <v>0.1</v>
      </c>
      <c r="AS12">
        <f>1 - ((AR12-AP12)^2) + (1 *AP12)</f>
        <v>0.99</v>
      </c>
      <c r="AT12" t="s">
        <v>54</v>
      </c>
      <c r="AU12">
        <v>1</v>
      </c>
      <c r="AV12">
        <v>3</v>
      </c>
      <c r="AW12" cm="1">
        <f t="array" ref="AW12">_xlfn.IFS(AV12=$E$25, $F$25, AV12=$E$26, $F$26, AV12=$E$27, $F$27, AV12=$E$28, $F$28, AV12=$E$29, $F$29, AV12=$E$30, $F$30, AV12=$E$31, $F$31)</f>
        <v>0.4</v>
      </c>
      <c r="AX12">
        <f>1 - ((AW12-AU12)^2) + (1 *AU12)</f>
        <v>1.6400000000000001</v>
      </c>
      <c r="AY12" t="s">
        <v>221</v>
      </c>
      <c r="AZ12">
        <v>0</v>
      </c>
      <c r="BA12">
        <v>1</v>
      </c>
      <c r="BB12" cm="1">
        <f t="array" ref="BB12">_xlfn.IFS(BA12=$E$25, $F$25, BA12=$E$26, $F$26, BA12=$E$27, $F$27, BA12=$E$28, $F$28, BA12=$E$29, $F$29, BA12=$E$30, $F$30, BA12=$E$31, $F$31)</f>
        <v>0.1</v>
      </c>
      <c r="BC12">
        <f>1 - ((BB12-AZ12)^2) + (1 *AZ12)</f>
        <v>0.99</v>
      </c>
      <c r="BD12" t="s">
        <v>245</v>
      </c>
      <c r="BE12">
        <v>0</v>
      </c>
      <c r="BF12">
        <v>1</v>
      </c>
      <c r="BG12" cm="1">
        <f t="array" ref="BG12">_xlfn.IFS(BF12=$E$25, $F$25, BF12=$E$26, $F$26, BF12=$E$27, $F$27, BF12=$E$28, $F$28, BF12=$E$29, $F$29, BF12=$E$30, $F$30, BF12=$E$31, $F$31)</f>
        <v>0.1</v>
      </c>
      <c r="BH12">
        <f>1 - ((BG12-BE12)^2) + (1 *BE12)</f>
        <v>0.99</v>
      </c>
      <c r="BI12" t="s">
        <v>246</v>
      </c>
      <c r="BJ12">
        <v>0</v>
      </c>
      <c r="BK12">
        <v>1</v>
      </c>
      <c r="BL12" cm="1">
        <f t="array" ref="BL12">_xlfn.IFS(BK12=$E$25, $F$25, BK12=$E$26, $F$26, BK12=$E$27, $F$27, BK12=$E$28, $F$28, BK12=$E$29, $F$29, BK12=$E$30, $F$30, BK12=$E$31, $F$31)</f>
        <v>0.1</v>
      </c>
      <c r="BM12">
        <f>1 - ((BL12-BJ12)^2) + (1 *BJ12)</f>
        <v>0.99</v>
      </c>
      <c r="BN12" t="s">
        <v>88</v>
      </c>
      <c r="BO12">
        <v>1</v>
      </c>
      <c r="BP12">
        <v>2</v>
      </c>
      <c r="BQ12" cm="1">
        <f t="array" ref="BQ12">_xlfn.IFS(BP12=$E$25, $F$25, BP12=$E$26, $F$26, BP12=$E$27, $F$27, BP12=$E$28, $F$28, BP12=$E$29, $F$29, BP12=$E$30, $F$30, BP12=$E$31, $F$31)</f>
        <v>0.25</v>
      </c>
      <c r="BR12">
        <f>1 - ((BQ12-BO12)^2) + (1 *BO12)</f>
        <v>1.4375</v>
      </c>
      <c r="BS12" t="s">
        <v>71</v>
      </c>
      <c r="BT12">
        <v>1</v>
      </c>
      <c r="BU12">
        <v>1</v>
      </c>
      <c r="BV12" cm="1">
        <f t="array" ref="BV12">_xlfn.IFS(BU12=$E$25, $F$25, BU12=$E$26, $F$26, BU12=$E$27, $F$27, BU12=$E$28, $F$28, BU12=$E$29, $F$29, BU12=$E$30, $F$30, BU12=$E$31, $F$31)</f>
        <v>0.1</v>
      </c>
      <c r="BW12">
        <f>1 - ((BV12-BT12)^2) + (1 *BT12)</f>
        <v>1.19</v>
      </c>
      <c r="BX12" t="s">
        <v>60</v>
      </c>
      <c r="BY12">
        <v>1</v>
      </c>
      <c r="BZ12">
        <v>7</v>
      </c>
      <c r="CA12" cm="1">
        <f t="array" ref="CA12">_xlfn.IFS(BZ12=$E$25, $F$25, BZ12=$E$26, $F$26, BZ12=$E$27, $F$27, BZ12=$E$28, $F$28, BZ12=$E$29, $F$29, BZ12=$E$30, $F$30, BZ12=$E$31, $F$31)</f>
        <v>0.9</v>
      </c>
      <c r="CB12">
        <f>1 - ((CA12-BY12)^2) + (1 *BY12)</f>
        <v>1.99</v>
      </c>
      <c r="CC12" t="s">
        <v>61</v>
      </c>
      <c r="CD12">
        <v>1</v>
      </c>
      <c r="CE12">
        <v>5</v>
      </c>
      <c r="CF12" cm="1">
        <f t="array" ref="CF12">_xlfn.IFS(CE12=$E$25, $F$25, CE12=$E$26, $F$26, CE12=$E$27, $F$27, CE12=$E$28, $F$28, CE12=$E$29, $F$29, CE12=$E$30, $F$30, CE12=$E$31, $F$31)</f>
        <v>0.6</v>
      </c>
      <c r="CG12">
        <f>1 - ((CF12-CD12)^2) + (1 *CD12)</f>
        <v>1.8399999999999999</v>
      </c>
      <c r="CH12">
        <v>1980</v>
      </c>
      <c r="CI12">
        <v>1</v>
      </c>
      <c r="CJ12">
        <v>7</v>
      </c>
      <c r="CK12" cm="1">
        <f t="array" ref="CK12">_xlfn.IFS(CJ12=$E$25, $F$25, CJ12=$E$26, $F$26, CJ12=$E$27, $F$27, CJ12=$E$28, $F$28, CJ12=$E$29, $F$29, CJ12=$E$30, $F$30, CJ12=$E$31, $F$31)</f>
        <v>0.9</v>
      </c>
      <c r="CL12">
        <f>1 - ((CK12-CI12)^2) + (1 *CI12)</f>
        <v>1.99</v>
      </c>
      <c r="CM12" t="s">
        <v>99</v>
      </c>
      <c r="CN12">
        <v>0</v>
      </c>
      <c r="CO12">
        <v>1</v>
      </c>
      <c r="CP12" cm="1">
        <f t="array" ref="CP12">_xlfn.IFS(CO12=$E$25, $F$25, CO12=$E$26, $F$26, CO12=$E$27, $F$27, CO12=$E$28, $F$28, CO12=$E$29, $F$29, CO12=$E$30, $F$30, CO12=$E$31, $F$31)</f>
        <v>0.1</v>
      </c>
      <c r="CQ12">
        <f>1 - ((CP12-CN12)^2) + (1 *CN12)</f>
        <v>0.99</v>
      </c>
      <c r="CR12">
        <v>12</v>
      </c>
      <c r="CS12">
        <v>1</v>
      </c>
      <c r="CT12">
        <v>7</v>
      </c>
      <c r="CU12" cm="1">
        <f t="array" ref="CU12">_xlfn.IFS(CT12=$E$25, $F$25, CT12=$E$26, $F$26, CT12=$E$27, $F$27, CT12=$E$28, $F$28, CT12=$E$29, $F$29, CT12=$E$30, $F$30, CT12=$E$31, $F$31)</f>
        <v>0.9</v>
      </c>
      <c r="CV12">
        <f>1 - ((CU12-CS12)^2) + (1 *CS12)</f>
        <v>1.99</v>
      </c>
      <c r="CW12" t="s">
        <v>247</v>
      </c>
      <c r="CX12">
        <v>0</v>
      </c>
      <c r="CY12">
        <v>1</v>
      </c>
      <c r="CZ12" cm="1">
        <f t="array" ref="CZ12">_xlfn.IFS(CY12=$E$25, $F$25, CY12=$E$26, $F$26, CY12=$E$27, $F$27, CY12=$E$28, $F$28, CY12=$E$29, $F$29, CY12=$E$30, $F$30, CY12=$E$31, $F$31)</f>
        <v>0.1</v>
      </c>
      <c r="DA12">
        <f>1 - ((CZ12-CX12)^2) + (1 *CX12)</f>
        <v>0.99</v>
      </c>
    </row>
    <row r="13" spans="1:105">
      <c r="A13" s="3">
        <v>45994.853055555555</v>
      </c>
      <c r="B13">
        <v>8</v>
      </c>
      <c r="C13" s="2">
        <f>ROUND(SUMIF($F$1:$CS$1, "Weighted Score", $F13:$CS13),2)</f>
        <v>18</v>
      </c>
      <c r="D13" t="s">
        <v>248</v>
      </c>
      <c r="E13" t="s">
        <v>249</v>
      </c>
      <c r="F13" t="s">
        <v>85</v>
      </c>
      <c r="G13">
        <v>1</v>
      </c>
      <c r="H13">
        <v>7</v>
      </c>
      <c r="I13" cm="1">
        <f t="array" ref="I13">_xlfn.IFS(H13=$E$25, $F$25, H13=$E$26, $F$26, H13=$E$27, $F$27, H13=$E$28, $F$28, H13=$E$29, $F$29, H13=$E$30, $F$30, H13=$E$31, $F$31)</f>
        <v>0.9</v>
      </c>
      <c r="J13">
        <f>1 - ((I13-G13)^2) + (1 *G13)</f>
        <v>1.99</v>
      </c>
      <c r="K13" t="s">
        <v>51</v>
      </c>
      <c r="L13">
        <v>1</v>
      </c>
      <c r="M13">
        <v>4</v>
      </c>
      <c r="N13" cm="1">
        <f t="array" ref="N13">_xlfn.IFS(M13=$E$25, $F$25, M13=$E$26, $F$26, M13=$E$27, $F$27, M13=$E$28, $F$28, M13=$E$29, $F$29, M13=$E$30, $F$30, M13=$E$31, $F$31)</f>
        <v>0.5</v>
      </c>
      <c r="O13">
        <f>1 - ((N13-L13)^2) + (1 *L13)</f>
        <v>1.75</v>
      </c>
      <c r="P13">
        <v>1998</v>
      </c>
      <c r="Q13">
        <v>1</v>
      </c>
      <c r="R13">
        <v>7</v>
      </c>
      <c r="S13" cm="1">
        <f t="array" ref="S13">_xlfn.IFS(R13=$E$25, $F$25, R13=$E$26, $F$26, R13=$E$27, $F$27, R13=$E$28, $F$28, R13=$E$29, $F$29, R13=$E$30, $F$30, R13=$E$31, $F$31)</f>
        <v>0.9</v>
      </c>
      <c r="T13">
        <f>1 - ((S13-Q13)^2) + (1 *Q13)</f>
        <v>1.99</v>
      </c>
      <c r="U13">
        <v>18</v>
      </c>
      <c r="V13">
        <v>1</v>
      </c>
      <c r="W13">
        <v>7</v>
      </c>
      <c r="X13" cm="1">
        <f t="array" ref="X13">_xlfn.IFS(W13=$E$25, $F$25, W13=$E$26, $F$26, W13=$E$27, $F$27, W13=$E$28, $F$28, W13=$E$29, $F$29, W13=$E$30, $F$30, W13=$E$31, $F$31)</f>
        <v>0.9</v>
      </c>
      <c r="Y13">
        <f>1 - ((X13-V13)^2) + (1 *V13)</f>
        <v>1.99</v>
      </c>
      <c r="Z13" s="1">
        <v>0.6</v>
      </c>
      <c r="AA13">
        <v>0</v>
      </c>
      <c r="AB13">
        <v>5</v>
      </c>
      <c r="AC13" cm="1">
        <f t="array" ref="AC13">_xlfn.IFS(AB13=$E$25, $F$25, AB13=$E$26, $F$26, AB13=$E$27, $F$27, AB13=$E$28, $F$28, AB13=$E$29, $F$29, AB13=$E$30, $F$30, AB13=$E$31, $F$31)</f>
        <v>0.6</v>
      </c>
      <c r="AD13">
        <f>1 - ((AC13-AA13)^2) + (1 *AA13)</f>
        <v>0.64</v>
      </c>
      <c r="AE13" s="1">
        <v>0.22</v>
      </c>
      <c r="AF13">
        <v>0</v>
      </c>
      <c r="AG13">
        <v>4</v>
      </c>
      <c r="AH13" cm="1">
        <f t="array" ref="AH13">_xlfn.IFS(AG13=$E$25, $F$25, AG13=$E$26, $F$26, AG13=$E$27, $F$27, AG13=$E$28, $F$28, AG13=$E$29, $F$29, AG13=$E$30, $F$30, AG13=$E$31, $F$31)</f>
        <v>0.5</v>
      </c>
      <c r="AI13">
        <f>1 - ((AH13-AF13)^2) + (1 *AF13)</f>
        <v>0.75</v>
      </c>
      <c r="AJ13" t="s">
        <v>152</v>
      </c>
      <c r="AK13">
        <v>0</v>
      </c>
      <c r="AL13">
        <v>7</v>
      </c>
      <c r="AM13" cm="1">
        <f t="array" ref="AM13">_xlfn.IFS(AL13=$E$25, $F$25, AL13=$E$26, $F$26, AL13=$E$27, $F$27, AL13=$E$28, $F$28, AL13=$E$29, $F$29, AL13=$E$30, $F$30, AL13=$E$31, $F$31)</f>
        <v>0.9</v>
      </c>
      <c r="AN13">
        <f>1 - ((AM13-AK13)^2) + (1 *AK13)</f>
        <v>0.18999999999999995</v>
      </c>
      <c r="AO13" t="s">
        <v>53</v>
      </c>
      <c r="AP13">
        <v>1</v>
      </c>
      <c r="AQ13">
        <v>7</v>
      </c>
      <c r="AR13" cm="1">
        <f t="array" ref="AR13">_xlfn.IFS(AQ13=$E$25, $F$25, AQ13=$E$26, $F$26, AQ13=$E$27, $F$27, AQ13=$E$28, $F$28, AQ13=$E$29, $F$29, AQ13=$E$30, $F$30, AQ13=$E$31, $F$31)</f>
        <v>0.9</v>
      </c>
      <c r="AS13">
        <f>1 - ((AR13-AP13)^2) + (1 *AP13)</f>
        <v>1.99</v>
      </c>
      <c r="AT13" t="s">
        <v>54</v>
      </c>
      <c r="AU13">
        <v>1</v>
      </c>
      <c r="AV13">
        <v>4</v>
      </c>
      <c r="AW13" cm="1">
        <f t="array" ref="AW13">_xlfn.IFS(AV13=$E$25, $F$25, AV13=$E$26, $F$26, AV13=$E$27, $F$27, AV13=$E$28, $F$28, AV13=$E$29, $F$29, AV13=$E$30, $F$30, AV13=$E$31, $F$31)</f>
        <v>0.5</v>
      </c>
      <c r="AX13">
        <f>1 - ((AW13-AU13)^2) + (1 *AU13)</f>
        <v>1.75</v>
      </c>
      <c r="AY13" t="s">
        <v>221</v>
      </c>
      <c r="AZ13">
        <v>0</v>
      </c>
      <c r="BA13">
        <v>7</v>
      </c>
      <c r="BB13" cm="1">
        <f t="array" ref="BB13">_xlfn.IFS(BA13=$E$25, $F$25, BA13=$E$26, $F$26, BA13=$E$27, $F$27, BA13=$E$28, $F$28, BA13=$E$29, $F$29, BA13=$E$30, $F$30, BA13=$E$31, $F$31)</f>
        <v>0.9</v>
      </c>
      <c r="BC13">
        <f>1 - ((BB13-AZ13)^2) + (1 *AZ13)</f>
        <v>0.18999999999999995</v>
      </c>
      <c r="BD13">
        <v>1892</v>
      </c>
      <c r="BE13">
        <v>0</v>
      </c>
      <c r="BF13">
        <v>3</v>
      </c>
      <c r="BG13" cm="1">
        <f t="array" ref="BG13">_xlfn.IFS(BF13=$E$25, $F$25, BF13=$E$26, $F$26, BF13=$E$27, $F$27, BF13=$E$28, $F$28, BF13=$E$29, $F$29, BF13=$E$30, $F$30, BF13=$E$31, $F$31)</f>
        <v>0.4</v>
      </c>
      <c r="BH13">
        <f>1 - ((BG13-BE13)^2) + (1 *BE13)</f>
        <v>0.84</v>
      </c>
      <c r="BI13" t="s">
        <v>250</v>
      </c>
      <c r="BJ13">
        <v>0</v>
      </c>
      <c r="BK13">
        <v>1</v>
      </c>
      <c r="BL13" cm="1">
        <f t="array" ref="BL13">_xlfn.IFS(BK13=$E$25, $F$25, BK13=$E$26, $F$26, BK13=$E$27, $F$27, BK13=$E$28, $F$28, BK13=$E$29, $F$29, BK13=$E$30, $F$30, BK13=$E$31, $F$31)</f>
        <v>0.1</v>
      </c>
      <c r="BM13">
        <f>1 - ((BL13-BJ13)^2) + (1 *BJ13)</f>
        <v>0.99</v>
      </c>
      <c r="BN13" t="s">
        <v>112</v>
      </c>
      <c r="BO13">
        <v>0</v>
      </c>
      <c r="BP13">
        <v>7</v>
      </c>
      <c r="BQ13" cm="1">
        <f t="array" ref="BQ13">_xlfn.IFS(BP13=$E$25, $F$25, BP13=$E$26, $F$26, BP13=$E$27, $F$27, BP13=$E$28, $F$28, BP13=$E$29, $F$29, BP13=$E$30, $F$30, BP13=$E$31, $F$31)</f>
        <v>0.9</v>
      </c>
      <c r="BR13">
        <f>1 - ((BQ13-BO13)^2) + (1 *BO13)</f>
        <v>0.18999999999999995</v>
      </c>
      <c r="BS13" t="s">
        <v>81</v>
      </c>
      <c r="BT13">
        <v>0</v>
      </c>
      <c r="BU13">
        <v>7</v>
      </c>
      <c r="BV13" cm="1">
        <f t="array" ref="BV13">_xlfn.IFS(BU13=$E$25, $F$25, BU13=$E$26, $F$26, BU13=$E$27, $F$27, BU13=$E$28, $F$28, BU13=$E$29, $F$29, BU13=$E$30, $F$30, BU13=$E$31, $F$31)</f>
        <v>0.9</v>
      </c>
      <c r="BW13">
        <f>1 - ((BV13-BT13)^2) + (1 *BT13)</f>
        <v>0.18999999999999995</v>
      </c>
      <c r="BX13" t="s">
        <v>105</v>
      </c>
      <c r="BY13">
        <v>0</v>
      </c>
      <c r="BZ13">
        <v>7</v>
      </c>
      <c r="CA13" cm="1">
        <f t="array" ref="CA13">_xlfn.IFS(BZ13=$E$25, $F$25, BZ13=$E$26, $F$26, BZ13=$E$27, $F$27, BZ13=$E$28, $F$28, BZ13=$E$29, $F$29, BZ13=$E$30, $F$30, BZ13=$E$31, $F$31)</f>
        <v>0.9</v>
      </c>
      <c r="CB13">
        <f>1 - ((CA13-BY13)^2) + (1 *BY13)</f>
        <v>0.18999999999999995</v>
      </c>
      <c r="CC13" t="s">
        <v>222</v>
      </c>
      <c r="CD13">
        <v>0</v>
      </c>
      <c r="CE13">
        <v>7</v>
      </c>
      <c r="CF13" cm="1">
        <f t="array" ref="CF13">_xlfn.IFS(CE13=$E$25, $F$25, CE13=$E$26, $F$26, CE13=$E$27, $F$27, CE13=$E$28, $F$28, CE13=$E$29, $F$29, CE13=$E$30, $F$30, CE13=$E$31, $F$31)</f>
        <v>0.9</v>
      </c>
      <c r="CG13">
        <f>1 - ((CF13-CD13)^2) + (1 *CD13)</f>
        <v>0.18999999999999995</v>
      </c>
      <c r="CH13">
        <v>1980</v>
      </c>
      <c r="CI13">
        <v>1</v>
      </c>
      <c r="CJ13">
        <v>7</v>
      </c>
      <c r="CK13" cm="1">
        <f t="array" ref="CK13">_xlfn.IFS(CJ13=$E$25, $F$25, CJ13=$E$26, $F$26, CJ13=$E$27, $F$27, CJ13=$E$28, $F$28, CJ13=$E$29, $F$29, CJ13=$E$30, $F$30, CJ13=$E$31, $F$31)</f>
        <v>0.9</v>
      </c>
      <c r="CL13">
        <f>1 - ((CK13-CI13)^2) + (1 *CI13)</f>
        <v>1.99</v>
      </c>
      <c r="CM13" t="s">
        <v>62</v>
      </c>
      <c r="CN13">
        <v>0</v>
      </c>
      <c r="CO13">
        <v>7</v>
      </c>
      <c r="CP13" cm="1">
        <f t="array" ref="CP13">_xlfn.IFS(CO13=$E$25, $F$25, CO13=$E$26, $F$26, CO13=$E$27, $F$27, CO13=$E$28, $F$28, CO13=$E$29, $F$29, CO13=$E$30, $F$30, CO13=$E$31, $F$31)</f>
        <v>0.9</v>
      </c>
      <c r="CQ13">
        <f>1 - ((CP13-CN13)^2) + (1 *CN13)</f>
        <v>0.18999999999999995</v>
      </c>
      <c r="CR13">
        <v>12</v>
      </c>
      <c r="CS13">
        <v>1</v>
      </c>
      <c r="CT13">
        <v>7</v>
      </c>
      <c r="CU13" cm="1">
        <f t="array" ref="CU13">_xlfn.IFS(CT13=$E$25, $F$25, CT13=$E$26, $F$26, CT13=$E$27, $F$27, CT13=$E$28, $F$28, CT13=$E$29, $F$29, CT13=$E$30, $F$30, CT13=$E$31, $F$31)</f>
        <v>0.9</v>
      </c>
      <c r="CV13">
        <f>1 - ((CU13-CS13)^2) + (1 *CS13)</f>
        <v>1.99</v>
      </c>
      <c r="CW13" t="s">
        <v>251</v>
      </c>
      <c r="CX13">
        <v>0</v>
      </c>
      <c r="CY13">
        <v>1</v>
      </c>
      <c r="CZ13" cm="1">
        <f t="array" ref="CZ13">_xlfn.IFS(CY13=$E$25, $F$25, CY13=$E$26, $F$26, CY13=$E$27, $F$27, CY13=$E$28, $F$28, CY13=$E$29, $F$29, CY13=$E$30, $F$30, CY13=$E$31, $F$31)</f>
        <v>0.1</v>
      </c>
      <c r="DA13">
        <f>1 - ((CZ13-CX13)^2) + (1 *CX13)</f>
        <v>0.99</v>
      </c>
    </row>
    <row r="14" spans="1:105">
      <c r="A14" s="3">
        <v>45994.853402777779</v>
      </c>
      <c r="B14">
        <v>11</v>
      </c>
      <c r="C14" s="2">
        <f>ROUND(SUMIF($F$1:$CS$1, "Weighted Score", $F14:$CS14),2)</f>
        <v>25.17</v>
      </c>
      <c r="D14" t="s">
        <v>252</v>
      </c>
      <c r="E14" t="s">
        <v>253</v>
      </c>
      <c r="F14" t="s">
        <v>85</v>
      </c>
      <c r="G14">
        <v>1</v>
      </c>
      <c r="H14">
        <v>7</v>
      </c>
      <c r="I14" cm="1">
        <f t="array" ref="I14">_xlfn.IFS(H14=$E$25, $F$25, H14=$E$26, $F$26, H14=$E$27, $F$27, H14=$E$28, $F$28, H14=$E$29, $F$29, H14=$E$30, $F$30, H14=$E$31, $F$31)</f>
        <v>0.9</v>
      </c>
      <c r="J14">
        <f>1 - ((I14-G14)^2) + (1 *G14)</f>
        <v>1.99</v>
      </c>
      <c r="K14" t="s">
        <v>51</v>
      </c>
      <c r="L14">
        <v>1</v>
      </c>
      <c r="M14">
        <v>5</v>
      </c>
      <c r="N14" cm="1">
        <f t="array" ref="N14">_xlfn.IFS(M14=$E$25, $F$25, M14=$E$26, $F$26, M14=$E$27, $F$27, M14=$E$28, $F$28, M14=$E$29, $F$29, M14=$E$30, $F$30, M14=$E$31, $F$31)</f>
        <v>0.6</v>
      </c>
      <c r="O14">
        <f>1 - ((N14-L14)^2) + (1 *L14)</f>
        <v>1.8399999999999999</v>
      </c>
      <c r="P14">
        <v>1989</v>
      </c>
      <c r="Q14">
        <v>0</v>
      </c>
      <c r="R14">
        <v>5</v>
      </c>
      <c r="S14" cm="1">
        <f t="array" ref="S14">_xlfn.IFS(R14=$E$25, $F$25, R14=$E$26, $F$26, R14=$E$27, $F$27, R14=$E$28, $F$28, R14=$E$29, $F$29, R14=$E$30, $F$30, R14=$E$31, $F$31)</f>
        <v>0.6</v>
      </c>
      <c r="T14">
        <f>1 - ((S14-Q14)^2) + (1 *Q14)</f>
        <v>0.64</v>
      </c>
      <c r="U14">
        <v>18</v>
      </c>
      <c r="V14">
        <v>1</v>
      </c>
      <c r="W14">
        <v>7</v>
      </c>
      <c r="X14" cm="1">
        <f t="array" ref="X14">_xlfn.IFS(W14=$E$25, $F$25, W14=$E$26, $F$26, W14=$E$27, $F$27, W14=$E$28, $F$28, W14=$E$29, $F$29, W14=$E$30, $F$30, W14=$E$31, $F$31)</f>
        <v>0.9</v>
      </c>
      <c r="Y14">
        <f>1 - ((X14-V14)^2) + (1 *V14)</f>
        <v>1.99</v>
      </c>
      <c r="Z14" s="1">
        <v>0.05</v>
      </c>
      <c r="AA14">
        <v>1</v>
      </c>
      <c r="AB14">
        <v>7</v>
      </c>
      <c r="AC14" cm="1">
        <f t="array" ref="AC14">_xlfn.IFS(AB14=$E$25, $F$25, AB14=$E$26, $F$26, AB14=$E$27, $F$27, AB14=$E$28, $F$28, AB14=$E$29, $F$29, AB14=$E$30, $F$30, AB14=$E$31, $F$31)</f>
        <v>0.9</v>
      </c>
      <c r="AD14">
        <f>1 - ((AC14-AA14)^2) + (1 *AA14)</f>
        <v>1.99</v>
      </c>
      <c r="AE14" s="1">
        <v>0.15</v>
      </c>
      <c r="AF14">
        <v>0</v>
      </c>
      <c r="AG14">
        <v>1</v>
      </c>
      <c r="AH14" cm="1">
        <f t="array" ref="AH14">_xlfn.IFS(AG14=$E$25, $F$25, AG14=$E$26, $F$26, AG14=$E$27, $F$27, AG14=$E$28, $F$28, AG14=$E$29, $F$29, AG14=$E$30, $F$30, AG14=$E$31, $F$31)</f>
        <v>0.1</v>
      </c>
      <c r="AI14">
        <f>1 - ((AH14-AF14)^2) + (1 *AF14)</f>
        <v>0.99</v>
      </c>
      <c r="AJ14" t="s">
        <v>152</v>
      </c>
      <c r="AK14">
        <v>0</v>
      </c>
      <c r="AL14">
        <v>1</v>
      </c>
      <c r="AM14" cm="1">
        <f t="array" ref="AM14">_xlfn.IFS(AL14=$E$25, $F$25, AL14=$E$26, $F$26, AL14=$E$27, $F$27, AL14=$E$28, $F$28, AL14=$E$29, $F$29, AL14=$E$30, $F$30, AL14=$E$31, $F$31)</f>
        <v>0.1</v>
      </c>
      <c r="AN14">
        <f>1 - ((AM14-AK14)^2) + (1 *AK14)</f>
        <v>0.99</v>
      </c>
      <c r="AO14" t="s">
        <v>77</v>
      </c>
      <c r="AP14">
        <v>0</v>
      </c>
      <c r="AQ14">
        <v>2</v>
      </c>
      <c r="AR14" cm="1">
        <f t="array" ref="AR14">_xlfn.IFS(AQ14=$E$25, $F$25, AQ14=$E$26, $F$26, AQ14=$E$27, $F$27, AQ14=$E$28, $F$28, AQ14=$E$29, $F$29, AQ14=$E$30, $F$30, AQ14=$E$31, $F$31)</f>
        <v>0.25</v>
      </c>
      <c r="AS14">
        <f>1 - ((AR14-AP14)^2) + (1 *AP14)</f>
        <v>0.9375</v>
      </c>
      <c r="AT14" t="s">
        <v>91</v>
      </c>
      <c r="AU14">
        <v>0</v>
      </c>
      <c r="AV14">
        <v>2</v>
      </c>
      <c r="AW14" cm="1">
        <f t="array" ref="AW14">_xlfn.IFS(AV14=$E$25, $F$25, AV14=$E$26, $F$26, AV14=$E$27, $F$27, AV14=$E$28, $F$28, AV14=$E$29, $F$29, AV14=$E$30, $F$30, AV14=$E$31, $F$31)</f>
        <v>0.25</v>
      </c>
      <c r="AX14">
        <f>1 - ((AW14-AU14)^2) + (1 *AU14)</f>
        <v>0.9375</v>
      </c>
      <c r="AY14" t="s">
        <v>68</v>
      </c>
      <c r="AZ14">
        <v>1</v>
      </c>
      <c r="BA14">
        <v>2</v>
      </c>
      <c r="BB14" cm="1">
        <f t="array" ref="BB14">_xlfn.IFS(BA14=$E$25, $F$25, BA14=$E$26, $F$26, BA14=$E$27, $F$27, BA14=$E$28, $F$28, BA14=$E$29, $F$29, BA14=$E$30, $F$30, BA14=$E$31, $F$31)</f>
        <v>0.25</v>
      </c>
      <c r="BC14">
        <f>1 - ((BB14-AZ14)^2) + (1 *AZ14)</f>
        <v>1.4375</v>
      </c>
      <c r="BD14">
        <v>1800</v>
      </c>
      <c r="BE14">
        <v>0</v>
      </c>
      <c r="BF14">
        <v>1</v>
      </c>
      <c r="BG14" cm="1">
        <f t="array" ref="BG14">_xlfn.IFS(BF14=$E$25, $F$25, BF14=$E$26, $F$26, BF14=$E$27, $F$27, BF14=$E$28, $F$28, BF14=$E$29, $F$29, BF14=$E$30, $F$30, BF14=$E$31, $F$31)</f>
        <v>0.1</v>
      </c>
      <c r="BH14">
        <f>1 - ((BG14-BE14)^2) + (1 *BE14)</f>
        <v>0.99</v>
      </c>
      <c r="BI14" t="s">
        <v>254</v>
      </c>
      <c r="BJ14">
        <v>0</v>
      </c>
      <c r="BK14">
        <v>1</v>
      </c>
      <c r="BL14" cm="1">
        <f t="array" ref="BL14">_xlfn.IFS(BK14=$E$25, $F$25, BK14=$E$26, $F$26, BK14=$E$27, $F$27, BK14=$E$28, $F$28, BK14=$E$29, $F$29, BK14=$E$30, $F$30, BK14=$E$31, $F$31)</f>
        <v>0.1</v>
      </c>
      <c r="BM14">
        <f>1 - ((BL14-BJ14)^2) + (1 *BJ14)</f>
        <v>0.99</v>
      </c>
      <c r="BN14" t="s">
        <v>88</v>
      </c>
      <c r="BO14">
        <v>1</v>
      </c>
      <c r="BP14">
        <v>5</v>
      </c>
      <c r="BQ14" cm="1">
        <f t="array" ref="BQ14">_xlfn.IFS(BP14=$E$25, $F$25, BP14=$E$26, $F$26, BP14=$E$27, $F$27, BP14=$E$28, $F$28, BP14=$E$29, $F$29, BP14=$E$30, $F$30, BP14=$E$31, $F$31)</f>
        <v>0.6</v>
      </c>
      <c r="BR14">
        <f>1 - ((BQ14-BO14)^2) + (1 *BO14)</f>
        <v>1.8399999999999999</v>
      </c>
      <c r="BS14" t="s">
        <v>71</v>
      </c>
      <c r="BT14">
        <v>1</v>
      </c>
      <c r="BU14">
        <v>7</v>
      </c>
      <c r="BV14" cm="1">
        <f t="array" ref="BV14">_xlfn.IFS(BU14=$E$25, $F$25, BU14=$E$26, $F$26, BU14=$E$27, $F$27, BU14=$E$28, $F$28, BU14=$E$29, $F$29, BU14=$E$30, $F$30, BU14=$E$31, $F$31)</f>
        <v>0.9</v>
      </c>
      <c r="BW14">
        <f>1 - ((BV14-BT14)^2) + (1 *BT14)</f>
        <v>1.99</v>
      </c>
      <c r="BX14" t="s">
        <v>60</v>
      </c>
      <c r="BY14">
        <v>1</v>
      </c>
      <c r="BZ14">
        <v>4</v>
      </c>
      <c r="CA14" cm="1">
        <f t="array" ref="CA14">_xlfn.IFS(BZ14=$E$25, $F$25, BZ14=$E$26, $F$26, BZ14=$E$27, $F$27, BZ14=$E$28, $F$28, BZ14=$E$29, $F$29, BZ14=$E$30, $F$30, BZ14=$E$31, $F$31)</f>
        <v>0.5</v>
      </c>
      <c r="CB14">
        <f>1 - ((CA14-BY14)^2) + (1 *BY14)</f>
        <v>1.75</v>
      </c>
      <c r="CC14" t="s">
        <v>61</v>
      </c>
      <c r="CD14">
        <v>1</v>
      </c>
      <c r="CE14">
        <v>6</v>
      </c>
      <c r="CF14" cm="1">
        <f t="array" ref="CF14">_xlfn.IFS(CE14=$E$25, $F$25, CE14=$E$26, $F$26, CE14=$E$27, $F$27, CE14=$E$28, $F$28, CE14=$E$29, $F$29, CE14=$E$30, $F$30, CE14=$E$31, $F$31)</f>
        <v>0.75</v>
      </c>
      <c r="CG14">
        <f>1 - ((CF14-CD14)^2) + (1 *CD14)</f>
        <v>1.9375</v>
      </c>
      <c r="CH14">
        <v>1990</v>
      </c>
      <c r="CI14">
        <v>0</v>
      </c>
      <c r="CJ14">
        <v>1</v>
      </c>
      <c r="CK14" cm="1">
        <f t="array" ref="CK14">_xlfn.IFS(CJ14=$E$25, $F$25, CJ14=$E$26, $F$26, CJ14=$E$27, $F$27, CJ14=$E$28, $F$28, CJ14=$E$29, $F$29, CJ14=$E$30, $F$30, CJ14=$E$31, $F$31)</f>
        <v>0.1</v>
      </c>
      <c r="CL14">
        <f>1 - ((CK14-CI14)^2) + (1 *CI14)</f>
        <v>0.99</v>
      </c>
      <c r="CM14" t="s">
        <v>62</v>
      </c>
      <c r="CN14">
        <v>0</v>
      </c>
      <c r="CO14">
        <v>2</v>
      </c>
      <c r="CP14" cm="1">
        <f t="array" ref="CP14">_xlfn.IFS(CO14=$E$25, $F$25, CO14=$E$26, $F$26, CO14=$E$27, $F$27, CO14=$E$28, $F$28, CO14=$E$29, $F$29, CO14=$E$30, $F$30, CO14=$E$31, $F$31)</f>
        <v>0.25</v>
      </c>
      <c r="CQ14">
        <f>1 - ((CP14-CN14)^2) + (1 *CN14)</f>
        <v>0.9375</v>
      </c>
      <c r="CR14">
        <v>12</v>
      </c>
      <c r="CS14">
        <v>1</v>
      </c>
      <c r="CT14">
        <v>7</v>
      </c>
      <c r="CU14" cm="1">
        <f t="array" ref="CU14">_xlfn.IFS(CT14=$E$25, $F$25, CT14=$E$26, $F$26, CT14=$E$27, $F$27, CT14=$E$28, $F$28, CT14=$E$29, $F$29, CT14=$E$30, $F$30, CT14=$E$31, $F$31)</f>
        <v>0.9</v>
      </c>
      <c r="CV14">
        <f>1 - ((CU14-CS14)^2) + (1 *CS14)</f>
        <v>1.99</v>
      </c>
      <c r="CW14" t="s">
        <v>255</v>
      </c>
      <c r="CX14">
        <v>1</v>
      </c>
      <c r="CY14">
        <v>2</v>
      </c>
      <c r="CZ14" cm="1">
        <f t="array" ref="CZ14">_xlfn.IFS(CY14=$E$25, $F$25, CY14=$E$26, $F$26, CY14=$E$27, $F$27, CY14=$E$28, $F$28, CY14=$E$29, $F$29, CY14=$E$30, $F$30, CY14=$E$31, $F$31)</f>
        <v>0.25</v>
      </c>
      <c r="DA14">
        <f>1 - ((CZ14-CX14)^2) + (1 *CX14)</f>
        <v>1.4375</v>
      </c>
    </row>
    <row r="15" spans="1:105">
      <c r="A15" s="3">
        <v>45994.853483796294</v>
      </c>
      <c r="B15">
        <v>8</v>
      </c>
      <c r="C15" s="2">
        <f>ROUND(SUMIF($F$1:$CS$1, "Weighted Score", $F15:$CS15),2)</f>
        <v>22.11</v>
      </c>
      <c r="D15" t="s">
        <v>256</v>
      </c>
      <c r="E15" t="s">
        <v>257</v>
      </c>
      <c r="F15" t="s">
        <v>103</v>
      </c>
      <c r="G15">
        <v>0</v>
      </c>
      <c r="H15">
        <v>4</v>
      </c>
      <c r="I15" cm="1">
        <f t="array" ref="I15">_xlfn.IFS(H15=$E$25, $F$25, H15=$E$26, $F$26, H15=$E$27, $F$27, H15=$E$28, $F$28, H15=$E$29, $F$29, H15=$E$30, $F$30, H15=$E$31, $F$31)</f>
        <v>0.5</v>
      </c>
      <c r="J15">
        <f>1 - ((I15-G15)^2) + (1 *G15)</f>
        <v>0.75</v>
      </c>
      <c r="K15" t="s">
        <v>96</v>
      </c>
      <c r="L15">
        <v>0</v>
      </c>
      <c r="M15">
        <v>7</v>
      </c>
      <c r="N15" cm="1">
        <f t="array" ref="N15">_xlfn.IFS(M15=$E$25, $F$25, M15=$E$26, $F$26, M15=$E$27, $F$27, M15=$E$28, $F$28, M15=$E$29, $F$29, M15=$E$30, $F$30, M15=$E$31, $F$31)</f>
        <v>0.9</v>
      </c>
      <c r="O15">
        <f>1 - ((N15-L15)^2) + (1 *L15)</f>
        <v>0.18999999999999995</v>
      </c>
      <c r="P15">
        <v>1998</v>
      </c>
      <c r="Q15">
        <v>1</v>
      </c>
      <c r="R15">
        <v>6</v>
      </c>
      <c r="S15" cm="1">
        <f t="array" ref="S15">_xlfn.IFS(R15=$E$25, $F$25, R15=$E$26, $F$26, R15=$E$27, $F$27, R15=$E$28, $F$28, R15=$E$29, $F$29, R15=$E$30, $F$30, R15=$E$31, $F$31)</f>
        <v>0.75</v>
      </c>
      <c r="T15">
        <f>1 - ((S15-Q15)^2) + (1 *Q15)</f>
        <v>1.9375</v>
      </c>
      <c r="U15">
        <v>18</v>
      </c>
      <c r="V15">
        <v>1</v>
      </c>
      <c r="W15">
        <v>7</v>
      </c>
      <c r="X15" cm="1">
        <f t="array" ref="X15">_xlfn.IFS(W15=$E$25, $F$25, W15=$E$26, $F$26, W15=$E$27, $F$27, W15=$E$28, $F$28, W15=$E$29, $F$29, W15=$E$30, $F$30, W15=$E$31, $F$31)</f>
        <v>0.9</v>
      </c>
      <c r="Y15">
        <f>1 - ((X15-V15)^2) + (1 *V15)</f>
        <v>1.99</v>
      </c>
      <c r="Z15">
        <v>5</v>
      </c>
      <c r="AA15">
        <v>1</v>
      </c>
      <c r="AB15">
        <v>5</v>
      </c>
      <c r="AC15" cm="1">
        <f t="array" ref="AC15">_xlfn.IFS(AB15=$E$25, $F$25, AB15=$E$26, $F$26, AB15=$E$27, $F$27, AB15=$E$28, $F$28, AB15=$E$29, $F$29, AB15=$E$30, $F$30, AB15=$E$31, $F$31)</f>
        <v>0.6</v>
      </c>
      <c r="AD15">
        <f>1 - ((AC15-AA15)^2) + (1 *AA15)</f>
        <v>1.8399999999999999</v>
      </c>
      <c r="AE15" s="1">
        <v>0.18</v>
      </c>
      <c r="AF15">
        <v>0</v>
      </c>
      <c r="AG15">
        <v>2</v>
      </c>
      <c r="AH15" cm="1">
        <f t="array" ref="AH15">_xlfn.IFS(AG15=$E$25, $F$25, AG15=$E$26, $F$26, AG15=$E$27, $F$27, AG15=$E$28, $F$28, AG15=$E$29, $F$29, AG15=$E$30, $F$30, AG15=$E$31, $F$31)</f>
        <v>0.25</v>
      </c>
      <c r="AI15">
        <f>1 - ((AH15-AF15)^2) + (1 *AF15)</f>
        <v>0.9375</v>
      </c>
      <c r="AJ15" t="s">
        <v>52</v>
      </c>
      <c r="AK15">
        <v>1</v>
      </c>
      <c r="AL15">
        <v>4</v>
      </c>
      <c r="AM15" cm="1">
        <f t="array" ref="AM15">_xlfn.IFS(AL15=$E$25, $F$25, AL15=$E$26, $F$26, AL15=$E$27, $F$27, AL15=$E$28, $F$28, AL15=$E$29, $F$29, AL15=$E$30, $F$30, AL15=$E$31, $F$31)</f>
        <v>0.5</v>
      </c>
      <c r="AN15">
        <f>1 - ((AM15-AK15)^2) + (1 *AK15)</f>
        <v>1.75</v>
      </c>
      <c r="AO15" t="s">
        <v>109</v>
      </c>
      <c r="AP15">
        <v>0</v>
      </c>
      <c r="AQ15">
        <v>2</v>
      </c>
      <c r="AR15" cm="1">
        <f t="array" ref="AR15">_xlfn.IFS(AQ15=$E$25, $F$25, AQ15=$E$26, $F$26, AQ15=$E$27, $F$27, AQ15=$E$28, $F$28, AQ15=$E$29, $F$29, AQ15=$E$30, $F$30, AQ15=$E$31, $F$31)</f>
        <v>0.25</v>
      </c>
      <c r="AS15">
        <f>1 - ((AR15-AP15)^2) + (1 *AP15)</f>
        <v>0.9375</v>
      </c>
      <c r="AT15" t="s">
        <v>116</v>
      </c>
      <c r="AU15">
        <v>0</v>
      </c>
      <c r="AV15">
        <v>1</v>
      </c>
      <c r="AW15" cm="1">
        <f t="array" ref="AW15">_xlfn.IFS(AV15=$E$25, $F$25, AV15=$E$26, $F$26, AV15=$E$27, $F$27, AV15=$E$28, $F$28, AV15=$E$29, $F$29, AV15=$E$30, $F$30, AV15=$E$31, $F$31)</f>
        <v>0.1</v>
      </c>
      <c r="AX15">
        <f>1 - ((AW15-AU15)^2) + (1 *AU15)</f>
        <v>0.99</v>
      </c>
      <c r="AY15" t="s">
        <v>55</v>
      </c>
      <c r="AZ15">
        <v>0</v>
      </c>
      <c r="BA15">
        <v>7</v>
      </c>
      <c r="BB15" cm="1">
        <f t="array" ref="BB15">_xlfn.IFS(BA15=$E$25, $F$25, BA15=$E$26, $F$26, BA15=$E$27, $F$27, BA15=$E$28, $F$28, BA15=$E$29, $F$29, BA15=$E$30, $F$30, BA15=$E$31, $F$31)</f>
        <v>0.9</v>
      </c>
      <c r="BC15">
        <f>1 - ((BB15-AZ15)^2) + (1 *AZ15)</f>
        <v>0.18999999999999995</v>
      </c>
      <c r="BD15">
        <v>1980</v>
      </c>
      <c r="BE15">
        <v>0</v>
      </c>
      <c r="BF15">
        <v>1</v>
      </c>
      <c r="BG15" cm="1">
        <f t="array" ref="BG15">_xlfn.IFS(BF15=$E$25, $F$25, BF15=$E$26, $F$26, BF15=$E$27, $F$27, BF15=$E$28, $F$28, BF15=$E$29, $F$29, BF15=$E$30, $F$30, BF15=$E$31, $F$31)</f>
        <v>0.1</v>
      </c>
      <c r="BH15">
        <f>1 - ((BG15-BE15)^2) + (1 *BE15)</f>
        <v>0.99</v>
      </c>
      <c r="BI15" t="s">
        <v>258</v>
      </c>
      <c r="BJ15">
        <v>1</v>
      </c>
      <c r="BK15">
        <v>7</v>
      </c>
      <c r="BL15" cm="1">
        <f t="array" ref="BL15">_xlfn.IFS(BK15=$E$25, $F$25, BK15=$E$26, $F$26, BK15=$E$27, $F$27, BK15=$E$28, $F$28, BK15=$E$29, $F$29, BK15=$E$30, $F$30, BK15=$E$31, $F$31)</f>
        <v>0.9</v>
      </c>
      <c r="BM15">
        <f>1 - ((BL15-BJ15)^2) + (1 *BJ15)</f>
        <v>1.99</v>
      </c>
      <c r="BN15" t="s">
        <v>88</v>
      </c>
      <c r="BO15">
        <v>1</v>
      </c>
      <c r="BP15">
        <v>6</v>
      </c>
      <c r="BQ15" cm="1">
        <f t="array" ref="BQ15">_xlfn.IFS(BP15=$E$25, $F$25, BP15=$E$26, $F$26, BP15=$E$27, $F$27, BP15=$E$28, $F$28, BP15=$E$29, $F$29, BP15=$E$30, $F$30, BP15=$E$31, $F$31)</f>
        <v>0.75</v>
      </c>
      <c r="BR15">
        <f>1 - ((BQ15-BO15)^2) + (1 *BO15)</f>
        <v>1.9375</v>
      </c>
      <c r="BS15" t="s">
        <v>81</v>
      </c>
      <c r="BT15">
        <v>0</v>
      </c>
      <c r="BU15">
        <v>4</v>
      </c>
      <c r="BV15" cm="1">
        <f t="array" ref="BV15">_xlfn.IFS(BU15=$E$25, $F$25, BU15=$E$26, $F$26, BU15=$E$27, $F$27, BU15=$E$28, $F$28, BU15=$E$29, $F$29, BU15=$E$30, $F$30, BU15=$E$31, $F$31)</f>
        <v>0.5</v>
      </c>
      <c r="BW15">
        <f>1 - ((BV15-BT15)^2) + (1 *BT15)</f>
        <v>0.75</v>
      </c>
      <c r="BX15" t="s">
        <v>60</v>
      </c>
      <c r="BY15">
        <v>1</v>
      </c>
      <c r="BZ15">
        <v>4</v>
      </c>
      <c r="CA15" cm="1">
        <f t="array" ref="CA15">_xlfn.IFS(BZ15=$E$25, $F$25, BZ15=$E$26, $F$26, BZ15=$E$27, $F$27, BZ15=$E$28, $F$28, BZ15=$E$29, $F$29, BZ15=$E$30, $F$30, BZ15=$E$31, $F$31)</f>
        <v>0.5</v>
      </c>
      <c r="CB15">
        <f>1 - ((CA15-BY15)^2) + (1 *BY15)</f>
        <v>1.75</v>
      </c>
      <c r="CC15" t="s">
        <v>61</v>
      </c>
      <c r="CD15">
        <v>1</v>
      </c>
      <c r="CE15">
        <v>7</v>
      </c>
      <c r="CF15" cm="1">
        <f t="array" ref="CF15">_xlfn.IFS(CE15=$E$25, $F$25, CE15=$E$26, $F$26, CE15=$E$27, $F$27, CE15=$E$28, $F$28, CE15=$E$29, $F$29, CE15=$E$30, $F$30, CE15=$E$31, $F$31)</f>
        <v>0.9</v>
      </c>
      <c r="CG15">
        <f>1 - ((CF15-CD15)^2) + (1 *CD15)</f>
        <v>1.99</v>
      </c>
      <c r="CH15">
        <v>1997</v>
      </c>
      <c r="CI15">
        <v>0</v>
      </c>
      <c r="CJ15">
        <v>6</v>
      </c>
      <c r="CK15" cm="1">
        <f t="array" ref="CK15">_xlfn.IFS(CJ15=$E$25, $F$25, CJ15=$E$26, $F$26, CJ15=$E$27, $F$27, CJ15=$E$28, $F$28, CJ15=$E$29, $F$29, CJ15=$E$30, $F$30, CJ15=$E$31, $F$31)</f>
        <v>0.75</v>
      </c>
      <c r="CL15">
        <f>1 - ((CK15-CI15)^2) + (1 *CI15)</f>
        <v>0.4375</v>
      </c>
      <c r="CM15" t="s">
        <v>72</v>
      </c>
      <c r="CN15">
        <v>0</v>
      </c>
      <c r="CO15">
        <v>4</v>
      </c>
      <c r="CP15" cm="1">
        <f t="array" ref="CP15">_xlfn.IFS(CO15=$E$25, $F$25, CO15=$E$26, $F$26, CO15=$E$27, $F$27, CO15=$E$28, $F$28, CO15=$E$29, $F$29, CO15=$E$30, $F$30, CO15=$E$31, $F$31)</f>
        <v>0.5</v>
      </c>
      <c r="CQ15">
        <f>1 - ((CP15-CN15)^2) + (1 *CN15)</f>
        <v>0.75</v>
      </c>
      <c r="CR15">
        <v>20</v>
      </c>
      <c r="CS15">
        <v>0</v>
      </c>
      <c r="CT15">
        <v>1</v>
      </c>
      <c r="CU15" cm="1">
        <f t="array" ref="CU15">_xlfn.IFS(CT15=$E$25, $F$25, CT15=$E$26, $F$26, CT15=$E$27, $F$27, CT15=$E$28, $F$28, CT15=$E$29, $F$29, CT15=$E$30, $F$30, CT15=$E$31, $F$31)</f>
        <v>0.1</v>
      </c>
      <c r="CV15">
        <f>1 - ((CU15-CS15)^2) + (1 *CS15)</f>
        <v>0.99</v>
      </c>
      <c r="CW15" t="s">
        <v>259</v>
      </c>
      <c r="CX15">
        <v>0</v>
      </c>
      <c r="CY15">
        <v>7</v>
      </c>
      <c r="CZ15" cm="1">
        <f t="array" ref="CZ15">_xlfn.IFS(CY15=$E$25, $F$25, CY15=$E$26, $F$26, CY15=$E$27, $F$27, CY15=$E$28, $F$28, CY15=$E$29, $F$29, CY15=$E$30, $F$30, CY15=$E$31, $F$31)</f>
        <v>0.9</v>
      </c>
      <c r="DA15">
        <f>1 - ((CZ15-CX15)^2) + (1 *CX15)</f>
        <v>0.18999999999999995</v>
      </c>
    </row>
    <row r="16" spans="1:105">
      <c r="A16" s="3">
        <v>45995.667881944442</v>
      </c>
      <c r="B16">
        <v>10</v>
      </c>
      <c r="C16" s="2">
        <f>ROUND(SUMIF($F$1:$CS$1, "Weighted Score", $F16:$CS16),2)</f>
        <v>22.51</v>
      </c>
      <c r="D16" t="s">
        <v>260</v>
      </c>
      <c r="E16" t="s">
        <v>261</v>
      </c>
      <c r="F16" t="s">
        <v>103</v>
      </c>
      <c r="G16">
        <v>0</v>
      </c>
      <c r="H16">
        <v>1</v>
      </c>
      <c r="I16" cm="1">
        <f t="array" ref="I16">_xlfn.IFS(H16=$E$25, $F$25, H16=$E$26, $F$26, H16=$E$27, $F$27, H16=$E$28, $F$28, H16=$E$29, $F$29, H16=$E$30, $F$30, H16=$E$31, $F$31)</f>
        <v>0.1</v>
      </c>
      <c r="J16">
        <f>1 - ((I16-G16)^2) + (1 *G16)</f>
        <v>0.99</v>
      </c>
      <c r="K16" t="s">
        <v>96</v>
      </c>
      <c r="L16">
        <v>0</v>
      </c>
      <c r="M16">
        <v>3</v>
      </c>
      <c r="N16" cm="1">
        <f t="array" ref="N16">_xlfn.IFS(M16=$E$25, $F$25, M16=$E$26, $F$26, M16=$E$27, $F$27, M16=$E$28, $F$28, M16=$E$29, $F$29, M16=$E$30, $F$30, M16=$E$31, $F$31)</f>
        <v>0.4</v>
      </c>
      <c r="O16">
        <f>1 - ((N16-L16)^2) + (1 *L16)</f>
        <v>0.84</v>
      </c>
      <c r="P16">
        <v>1990</v>
      </c>
      <c r="Q16">
        <v>0</v>
      </c>
      <c r="R16">
        <v>3</v>
      </c>
      <c r="S16" cm="1">
        <f t="array" ref="S16">_xlfn.IFS(R16=$E$25, $F$25, R16=$E$26, $F$26, R16=$E$27, $F$27, R16=$E$28, $F$28, R16=$E$29, $F$29, R16=$E$30, $F$30, R16=$E$31, $F$31)</f>
        <v>0.4</v>
      </c>
      <c r="T16">
        <f>1 - ((S16-Q16)^2) + (1 *Q16)</f>
        <v>0.84</v>
      </c>
      <c r="U16">
        <v>18</v>
      </c>
      <c r="V16">
        <v>1</v>
      </c>
      <c r="W16">
        <v>6</v>
      </c>
      <c r="X16" cm="1">
        <f t="array" ref="X16">_xlfn.IFS(W16=$E$25, $F$25, W16=$E$26, $F$26, W16=$E$27, $F$27, W16=$E$28, $F$28, W16=$E$29, $F$29, W16=$E$30, $F$30, W16=$E$31, $F$31)</f>
        <v>0.75</v>
      </c>
      <c r="Y16">
        <f>1 - ((X16-V16)^2) + (1 *V16)</f>
        <v>1.9375</v>
      </c>
      <c r="Z16" t="s">
        <v>262</v>
      </c>
      <c r="AA16">
        <v>0</v>
      </c>
      <c r="AB16">
        <v>5</v>
      </c>
      <c r="AC16" cm="1">
        <f t="array" ref="AC16">_xlfn.IFS(AB16=$E$25, $F$25, AB16=$E$26, $F$26, AB16=$E$27, $F$27, AB16=$E$28, $F$28, AB16=$E$29, $F$29, AB16=$E$30, $F$30, AB16=$E$31, $F$31)</f>
        <v>0.6</v>
      </c>
      <c r="AD16">
        <f>1 - ((AC16-AA16)^2) + (1 *AA16)</f>
        <v>0.64</v>
      </c>
      <c r="AE16" s="1">
        <v>0.2</v>
      </c>
      <c r="AF16">
        <v>1</v>
      </c>
      <c r="AG16">
        <v>1</v>
      </c>
      <c r="AH16" cm="1">
        <f t="array" ref="AH16">_xlfn.IFS(AG16=$E$25, $F$25, AG16=$E$26, $F$26, AG16=$E$27, $F$27, AG16=$E$28, $F$28, AG16=$E$29, $F$29, AG16=$E$30, $F$30, AG16=$E$31, $F$31)</f>
        <v>0.1</v>
      </c>
      <c r="AI16">
        <f>1 - ((AH16-AF16)^2) + (1 *AF16)</f>
        <v>1.19</v>
      </c>
      <c r="AJ16" t="s">
        <v>152</v>
      </c>
      <c r="AK16">
        <v>0</v>
      </c>
      <c r="AL16">
        <v>5</v>
      </c>
      <c r="AM16" cm="1">
        <f t="array" ref="AM16">_xlfn.IFS(AL16=$E$25, $F$25, AL16=$E$26, $F$26, AL16=$E$27, $F$27, AL16=$E$28, $F$28, AL16=$E$29, $F$29, AL16=$E$30, $F$30, AL16=$E$31, $F$31)</f>
        <v>0.6</v>
      </c>
      <c r="AN16">
        <f>1 - ((AM16-AK16)^2) + (1 *AK16)</f>
        <v>0.64</v>
      </c>
      <c r="AO16" t="s">
        <v>53</v>
      </c>
      <c r="AP16">
        <v>1</v>
      </c>
      <c r="AQ16">
        <v>2</v>
      </c>
      <c r="AR16" cm="1">
        <f t="array" ref="AR16">_xlfn.IFS(AQ16=$E$25, $F$25, AQ16=$E$26, $F$26, AQ16=$E$27, $F$27, AQ16=$E$28, $F$28, AQ16=$E$29, $F$29, AQ16=$E$30, $F$30, AQ16=$E$31, $F$31)</f>
        <v>0.25</v>
      </c>
      <c r="AS16">
        <f>1 - ((AR16-AP16)^2) + (1 *AP16)</f>
        <v>1.4375</v>
      </c>
      <c r="AT16" t="s">
        <v>54</v>
      </c>
      <c r="AU16">
        <v>1</v>
      </c>
      <c r="AV16">
        <v>2</v>
      </c>
      <c r="AW16" cm="1">
        <f t="array" ref="AW16">_xlfn.IFS(AV16=$E$25, $F$25, AV16=$E$26, $F$26, AV16=$E$27, $F$27, AV16=$E$28, $F$28, AV16=$E$29, $F$29, AV16=$E$30, $F$30, AV16=$E$31, $F$31)</f>
        <v>0.25</v>
      </c>
      <c r="AX16">
        <f>1 - ((AW16-AU16)^2) + (1 *AU16)</f>
        <v>1.4375</v>
      </c>
      <c r="AY16" t="s">
        <v>68</v>
      </c>
      <c r="AZ16">
        <v>1</v>
      </c>
      <c r="BA16">
        <v>3</v>
      </c>
      <c r="BB16" cm="1">
        <f t="array" ref="BB16">_xlfn.IFS(BA16=$E$25, $F$25, BA16=$E$26, $F$26, BA16=$E$27, $F$27, BA16=$E$28, $F$28, BA16=$E$29, $F$29, BA16=$E$30, $F$30, BA16=$E$31, $F$31)</f>
        <v>0.4</v>
      </c>
      <c r="BC16">
        <f>1 - ((BB16-AZ16)^2) + (1 *AZ16)</f>
        <v>1.6400000000000001</v>
      </c>
      <c r="BD16" t="s">
        <v>263</v>
      </c>
      <c r="BE16">
        <v>0</v>
      </c>
      <c r="BF16">
        <v>1</v>
      </c>
      <c r="BG16" cm="1">
        <f t="array" ref="BG16">_xlfn.IFS(BF16=$E$25, $F$25, BF16=$E$26, $F$26, BF16=$E$27, $F$27, BF16=$E$28, $F$28, BF16=$E$29, $F$29, BF16=$E$30, $F$30, BF16=$E$31, $F$31)</f>
        <v>0.1</v>
      </c>
      <c r="BH16">
        <f>1 - ((BG16-BE16)^2) + (1 *BE16)</f>
        <v>0.99</v>
      </c>
      <c r="BI16" t="s">
        <v>263</v>
      </c>
      <c r="BJ16">
        <v>0</v>
      </c>
      <c r="BK16">
        <v>3</v>
      </c>
      <c r="BL16" cm="1">
        <f t="array" ref="BL16">_xlfn.IFS(BK16=$E$25, $F$25, BK16=$E$26, $F$26, BK16=$E$27, $F$27, BK16=$E$28, $F$28, BK16=$E$29, $F$29, BK16=$E$30, $F$30, BK16=$E$31, $F$31)</f>
        <v>0.4</v>
      </c>
      <c r="BM16">
        <f>1 - ((BL16-BJ16)^2) + (1 *BJ16)</f>
        <v>0.84</v>
      </c>
      <c r="BN16" t="s">
        <v>88</v>
      </c>
      <c r="BO16">
        <v>1</v>
      </c>
      <c r="BP16">
        <v>3</v>
      </c>
      <c r="BQ16" cm="1">
        <f t="array" ref="BQ16">_xlfn.IFS(BP16=$E$25, $F$25, BP16=$E$26, $F$26, BP16=$E$27, $F$27, BP16=$E$28, $F$28, BP16=$E$29, $F$29, BP16=$E$30, $F$30, BP16=$E$31, $F$31)</f>
        <v>0.4</v>
      </c>
      <c r="BR16">
        <f>1 - ((BQ16-BO16)^2) + (1 *BO16)</f>
        <v>1.6400000000000001</v>
      </c>
      <c r="BS16" t="s">
        <v>59</v>
      </c>
      <c r="BT16">
        <v>0</v>
      </c>
      <c r="BU16">
        <v>2</v>
      </c>
      <c r="BV16" cm="1">
        <f t="array" ref="BV16">_xlfn.IFS(BU16=$E$25, $F$25, BU16=$E$26, $F$26, BU16=$E$27, $F$27, BU16=$E$28, $F$28, BU16=$E$29, $F$29, BU16=$E$30, $F$30, BU16=$E$31, $F$31)</f>
        <v>0.25</v>
      </c>
      <c r="BW16">
        <f>1 - ((BV16-BT16)^2) + (1 *BT16)</f>
        <v>0.9375</v>
      </c>
      <c r="BX16" t="s">
        <v>60</v>
      </c>
      <c r="BY16">
        <v>1</v>
      </c>
      <c r="BZ16">
        <v>5</v>
      </c>
      <c r="CA16" cm="1">
        <f t="array" ref="CA16">_xlfn.IFS(BZ16=$E$25, $F$25, BZ16=$E$26, $F$26, BZ16=$E$27, $F$27, BZ16=$E$28, $F$28, BZ16=$E$29, $F$29, BZ16=$E$30, $F$30, BZ16=$E$31, $F$31)</f>
        <v>0.6</v>
      </c>
      <c r="CB16">
        <f>1 - ((CA16-BY16)^2) + (1 *BY16)</f>
        <v>1.8399999999999999</v>
      </c>
      <c r="CC16" t="s">
        <v>61</v>
      </c>
      <c r="CD16">
        <v>1</v>
      </c>
      <c r="CE16">
        <v>7</v>
      </c>
      <c r="CF16" cm="1">
        <f t="array" ref="CF16">_xlfn.IFS(CE16=$E$25, $F$25, CE16=$E$26, $F$26, CE16=$E$27, $F$27, CE16=$E$28, $F$28, CE16=$E$29, $F$29, CE16=$E$30, $F$30, CE16=$E$31, $F$31)</f>
        <v>0.9</v>
      </c>
      <c r="CG16">
        <f>1 - ((CF16-CD16)^2) + (1 *CD16)</f>
        <v>1.99</v>
      </c>
      <c r="CH16">
        <v>1980</v>
      </c>
      <c r="CI16">
        <v>1</v>
      </c>
      <c r="CJ16">
        <v>5</v>
      </c>
      <c r="CK16" cm="1">
        <f t="array" ref="CK16">_xlfn.IFS(CJ16=$E$25, $F$25, CJ16=$E$26, $F$26, CJ16=$E$27, $F$27, CJ16=$E$28, $F$28, CJ16=$E$29, $F$29, CJ16=$E$30, $F$30, CJ16=$E$31, $F$31)</f>
        <v>0.6</v>
      </c>
      <c r="CL16">
        <f>1 - ((CK16-CI16)^2) + (1 *CI16)</f>
        <v>1.8399999999999999</v>
      </c>
      <c r="CM16" t="s">
        <v>62</v>
      </c>
      <c r="CN16">
        <v>0</v>
      </c>
      <c r="CO16">
        <v>3</v>
      </c>
      <c r="CP16" cm="1">
        <f t="array" ref="CP16">_xlfn.IFS(CO16=$E$25, $F$25, CO16=$E$26, $F$26, CO16=$E$27, $F$27, CO16=$E$28, $F$28, CO16=$E$29, $F$29, CO16=$E$30, $F$30, CO16=$E$31, $F$31)</f>
        <v>0.4</v>
      </c>
      <c r="CQ16">
        <f>1 - ((CP16-CN16)^2) + (1 *CN16)</f>
        <v>0.84</v>
      </c>
      <c r="CR16">
        <v>12</v>
      </c>
      <c r="CS16">
        <v>1</v>
      </c>
      <c r="CT16">
        <v>1</v>
      </c>
      <c r="CU16" cm="1">
        <f t="array" ref="CU16">_xlfn.IFS(CT16=$E$25, $F$25, CT16=$E$26, $F$26, CT16=$E$27, $F$27, CT16=$E$28, $F$28, CT16=$E$29, $F$29, CT16=$E$30, $F$30, CT16=$E$31, $F$31)</f>
        <v>0.1</v>
      </c>
      <c r="CV16">
        <f>1 - ((CU16-CS16)^2) + (1 *CS16)</f>
        <v>1.19</v>
      </c>
      <c r="CW16" t="s">
        <v>100</v>
      </c>
      <c r="CX16">
        <v>0</v>
      </c>
      <c r="CY16">
        <v>2</v>
      </c>
      <c r="CZ16" cm="1">
        <f t="array" ref="CZ16">_xlfn.IFS(CY16=$E$25, $F$25, CY16=$E$26, $F$26, CY16=$E$27, $F$27, CY16=$E$28, $F$28, CY16=$E$29, $F$29, CY16=$E$30, $F$30, CY16=$E$31, $F$31)</f>
        <v>0.25</v>
      </c>
      <c r="DA16">
        <f>1 - ((CZ16-CX16)^2) + (1 *CX16)</f>
        <v>0.9375</v>
      </c>
    </row>
    <row r="17" spans="1:105">
      <c r="A17" s="3">
        <v>45996.58353009259</v>
      </c>
      <c r="B17">
        <v>11</v>
      </c>
      <c r="C17" s="2">
        <f>ROUND(SUMIF($F$1:$CS$1, "Weighted Score", $F17:$CS17),2)</f>
        <v>24.45</v>
      </c>
      <c r="D17" t="s">
        <v>264</v>
      </c>
      <c r="E17" t="s">
        <v>265</v>
      </c>
      <c r="F17" t="s">
        <v>85</v>
      </c>
      <c r="G17">
        <v>1</v>
      </c>
      <c r="H17">
        <v>5</v>
      </c>
      <c r="I17" cm="1">
        <f t="array" ref="I17">_xlfn.IFS(H17=$E$25, $F$25, H17=$E$26, $F$26, H17=$E$27, $F$27, H17=$E$28, $F$28, H17=$E$29, $F$29, H17=$E$30, $F$30, H17=$E$31, $F$31)</f>
        <v>0.6</v>
      </c>
      <c r="J17">
        <f>1 - ((I17-G17)^2) + (1 *G17)</f>
        <v>1.8399999999999999</v>
      </c>
      <c r="K17" t="s">
        <v>51</v>
      </c>
      <c r="L17">
        <v>1</v>
      </c>
      <c r="M17">
        <v>7</v>
      </c>
      <c r="N17" cm="1">
        <f t="array" ref="N17">_xlfn.IFS(M17=$E$25, $F$25, M17=$E$26, $F$26, M17=$E$27, $F$27, M17=$E$28, $F$28, M17=$E$29, $F$29, M17=$E$30, $F$30, M17=$E$31, $F$31)</f>
        <v>0.9</v>
      </c>
      <c r="O17">
        <f>1 - ((N17-L17)^2) + (1 *L17)</f>
        <v>1.99</v>
      </c>
      <c r="P17">
        <v>1998</v>
      </c>
      <c r="Q17">
        <v>1</v>
      </c>
      <c r="R17">
        <v>4</v>
      </c>
      <c r="S17" cm="1">
        <f t="array" ref="S17">_xlfn.IFS(R17=$E$25, $F$25, R17=$E$26, $F$26, R17=$E$27, $F$27, R17=$E$28, $F$28, R17=$E$29, $F$29, R17=$E$30, $F$30, R17=$E$31, $F$31)</f>
        <v>0.5</v>
      </c>
      <c r="T17">
        <f>1 - ((S17-Q17)^2) + (1 *Q17)</f>
        <v>1.75</v>
      </c>
      <c r="U17">
        <v>18</v>
      </c>
      <c r="V17">
        <v>1</v>
      </c>
      <c r="W17">
        <v>5</v>
      </c>
      <c r="X17" cm="1">
        <f t="array" ref="X17">_xlfn.IFS(W17=$E$25, $F$25, W17=$E$26, $F$26, W17=$E$27, $F$27, W17=$E$28, $F$28, W17=$E$29, $F$29, W17=$E$30, $F$30, W17=$E$31, $F$31)</f>
        <v>0.6</v>
      </c>
      <c r="Y17">
        <f>1 - ((X17-V17)^2) + (1 *V17)</f>
        <v>1.8399999999999999</v>
      </c>
      <c r="Z17" s="1">
        <v>0.05</v>
      </c>
      <c r="AA17">
        <v>1</v>
      </c>
      <c r="AB17">
        <v>5</v>
      </c>
      <c r="AC17" cm="1">
        <f t="array" ref="AC17">_xlfn.IFS(AB17=$E$25, $F$25, AB17=$E$26, $F$26, AB17=$E$27, $F$27, AB17=$E$28, $F$28, AB17=$E$29, $F$29, AB17=$E$30, $F$30, AB17=$E$31, $F$31)</f>
        <v>0.6</v>
      </c>
      <c r="AD17">
        <f>1 - ((AC17-AA17)^2) + (1 *AA17)</f>
        <v>1.8399999999999999</v>
      </c>
      <c r="AE17" s="1">
        <v>0.22</v>
      </c>
      <c r="AF17">
        <v>0</v>
      </c>
      <c r="AG17">
        <v>3</v>
      </c>
      <c r="AH17" cm="1">
        <f t="array" ref="AH17">_xlfn.IFS(AG17=$E$25, $F$25, AG17=$E$26, $F$26, AG17=$E$27, $F$27, AG17=$E$28, $F$28, AG17=$E$29, $F$29, AG17=$E$30, $F$30, AG17=$E$31, $F$31)</f>
        <v>0.4</v>
      </c>
      <c r="AI17">
        <f>1 - ((AH17-AF17)^2) + (1 *AF17)</f>
        <v>0.84</v>
      </c>
      <c r="AJ17" t="s">
        <v>152</v>
      </c>
      <c r="AK17">
        <v>0</v>
      </c>
      <c r="AL17">
        <v>2</v>
      </c>
      <c r="AM17" cm="1">
        <f t="array" ref="AM17">_xlfn.IFS(AL17=$E$25, $F$25, AL17=$E$26, $F$26, AL17=$E$27, $F$27, AL17=$E$28, $F$28, AL17=$E$29, $F$29, AL17=$E$30, $F$30, AL17=$E$31, $F$31)</f>
        <v>0.25</v>
      </c>
      <c r="AN17">
        <f>1 - ((AM17-AK17)^2) + (1 *AK17)</f>
        <v>0.9375</v>
      </c>
      <c r="AO17" t="s">
        <v>53</v>
      </c>
      <c r="AP17">
        <v>1</v>
      </c>
      <c r="AQ17">
        <v>1</v>
      </c>
      <c r="AR17" cm="1">
        <f t="array" ref="AR17">_xlfn.IFS(AQ17=$E$25, $F$25, AQ17=$E$26, $F$26, AQ17=$E$27, $F$27, AQ17=$E$28, $F$28, AQ17=$E$29, $F$29, AQ17=$E$30, $F$30, AQ17=$E$31, $F$31)</f>
        <v>0.1</v>
      </c>
      <c r="AS17">
        <f>1 - ((AR17-AP17)^2) + (1 *AP17)</f>
        <v>1.19</v>
      </c>
      <c r="AT17" t="s">
        <v>54</v>
      </c>
      <c r="AU17">
        <v>1</v>
      </c>
      <c r="AV17">
        <v>3</v>
      </c>
      <c r="AW17" cm="1">
        <f t="array" ref="AW17">_xlfn.IFS(AV17=$E$25, $F$25, AV17=$E$26, $F$26, AV17=$E$27, $F$27, AV17=$E$28, $F$28, AV17=$E$29, $F$29, AV17=$E$30, $F$30, AV17=$E$31, $F$31)</f>
        <v>0.4</v>
      </c>
      <c r="AX17">
        <f>1 - ((AW17-AU17)^2) + (1 *AU17)</f>
        <v>1.6400000000000001</v>
      </c>
      <c r="AY17" t="s">
        <v>173</v>
      </c>
      <c r="AZ17">
        <v>0</v>
      </c>
      <c r="BA17">
        <v>4</v>
      </c>
      <c r="BB17" cm="1">
        <f t="array" ref="BB17">_xlfn.IFS(BA17=$E$25, $F$25, BA17=$E$26, $F$26, BA17=$E$27, $F$27, BA17=$E$28, $F$28, BA17=$E$29, $F$29, BA17=$E$30, $F$30, BA17=$E$31, $F$31)</f>
        <v>0.5</v>
      </c>
      <c r="BC17">
        <f>1 - ((BB17-AZ17)^2) + (1 *AZ17)</f>
        <v>0.75</v>
      </c>
      <c r="BD17">
        <v>1970</v>
      </c>
      <c r="BE17">
        <v>0</v>
      </c>
      <c r="BF17">
        <v>1</v>
      </c>
      <c r="BG17" cm="1">
        <f t="array" ref="BG17">_xlfn.IFS(BF17=$E$25, $F$25, BF17=$E$26, $F$26, BF17=$E$27, $F$27, BF17=$E$28, $F$28, BF17=$E$29, $F$29, BF17=$E$30, $F$30, BF17=$E$31, $F$31)</f>
        <v>0.1</v>
      </c>
      <c r="BH17">
        <f>1 - ((BG17-BE17)^2) + (1 *BE17)</f>
        <v>0.99</v>
      </c>
      <c r="BI17" t="s">
        <v>266</v>
      </c>
      <c r="BJ17">
        <v>0</v>
      </c>
      <c r="BK17">
        <v>1</v>
      </c>
      <c r="BL17" cm="1">
        <f t="array" ref="BL17">_xlfn.IFS(BK17=$E$25, $F$25, BK17=$E$26, $F$26, BK17=$E$27, $F$27, BK17=$E$28, $F$28, BK17=$E$29, $F$29, BK17=$E$30, $F$30, BK17=$E$31, $F$31)</f>
        <v>0.1</v>
      </c>
      <c r="BM17">
        <f>1 - ((BL17-BJ17)^2) + (1 *BJ17)</f>
        <v>0.99</v>
      </c>
      <c r="BN17" t="s">
        <v>88</v>
      </c>
      <c r="BO17">
        <v>1</v>
      </c>
      <c r="BP17">
        <v>4</v>
      </c>
      <c r="BQ17" cm="1">
        <f t="array" ref="BQ17">_xlfn.IFS(BP17=$E$25, $F$25, BP17=$E$26, $F$26, BP17=$E$27, $F$27, BP17=$E$28, $F$28, BP17=$E$29, $F$29, BP17=$E$30, $F$30, BP17=$E$31, $F$31)</f>
        <v>0.5</v>
      </c>
      <c r="BR17">
        <f>1 - ((BQ17-BO17)^2) + (1 *BO17)</f>
        <v>1.75</v>
      </c>
      <c r="BS17" t="s">
        <v>218</v>
      </c>
      <c r="BT17">
        <v>0</v>
      </c>
      <c r="BU17">
        <v>2</v>
      </c>
      <c r="BV17" cm="1">
        <f t="array" ref="BV17">_xlfn.IFS(BU17=$E$25, $F$25, BU17=$E$26, $F$26, BU17=$E$27, $F$27, BU17=$E$28, $F$28, BU17=$E$29, $F$29, BU17=$E$30, $F$30, BU17=$E$31, $F$31)</f>
        <v>0.25</v>
      </c>
      <c r="BW17">
        <f>1 - ((BV17-BT17)^2) + (1 *BT17)</f>
        <v>0.9375</v>
      </c>
      <c r="BX17" t="s">
        <v>105</v>
      </c>
      <c r="BY17">
        <v>0</v>
      </c>
      <c r="BZ17">
        <v>3</v>
      </c>
      <c r="CA17" cm="1">
        <f t="array" ref="CA17">_xlfn.IFS(BZ17=$E$25, $F$25, BZ17=$E$26, $F$26, BZ17=$E$27, $F$27, BZ17=$E$28, $F$28, BZ17=$E$29, $F$29, BZ17=$E$30, $F$30, BZ17=$E$31, $F$31)</f>
        <v>0.4</v>
      </c>
      <c r="CB17">
        <f>1 - ((CA17-BY17)^2) + (1 *BY17)</f>
        <v>0.84</v>
      </c>
      <c r="CC17" t="s">
        <v>61</v>
      </c>
      <c r="CD17">
        <v>1</v>
      </c>
      <c r="CE17">
        <v>5</v>
      </c>
      <c r="CF17" cm="1">
        <f t="array" ref="CF17">_xlfn.IFS(CE17=$E$25, $F$25, CE17=$E$26, $F$26, CE17=$E$27, $F$27, CE17=$E$28, $F$28, CE17=$E$29, $F$29, CE17=$E$30, $F$30, CE17=$E$31, $F$31)</f>
        <v>0.6</v>
      </c>
      <c r="CG17">
        <f>1 - ((CF17-CD17)^2) + (1 *CD17)</f>
        <v>1.8399999999999999</v>
      </c>
      <c r="CH17">
        <v>1980</v>
      </c>
      <c r="CI17">
        <v>1</v>
      </c>
      <c r="CJ17">
        <v>3</v>
      </c>
      <c r="CK17" cm="1">
        <f t="array" ref="CK17">_xlfn.IFS(CJ17=$E$25, $F$25, CJ17=$E$26, $F$26, CJ17=$E$27, $F$27, CJ17=$E$28, $F$28, CJ17=$E$29, $F$29, CJ17=$E$30, $F$30, CJ17=$E$31, $F$31)</f>
        <v>0.4</v>
      </c>
      <c r="CL17">
        <f>1 - ((CK17-CI17)^2) + (1 *CI17)</f>
        <v>1.6400000000000001</v>
      </c>
      <c r="CM17" t="s">
        <v>62</v>
      </c>
      <c r="CN17">
        <v>0</v>
      </c>
      <c r="CO17">
        <v>3</v>
      </c>
      <c r="CP17" cm="1">
        <f t="array" ref="CP17">_xlfn.IFS(CO17=$E$25, $F$25, CO17=$E$26, $F$26, CO17=$E$27, $F$27, CO17=$E$28, $F$28, CO17=$E$29, $F$29, CO17=$E$30, $F$30, CO17=$E$31, $F$31)</f>
        <v>0.4</v>
      </c>
      <c r="CQ17">
        <f>1 - ((CP17-CN17)^2) + (1 *CN17)</f>
        <v>0.84</v>
      </c>
      <c r="CR17">
        <v>12</v>
      </c>
      <c r="CS17">
        <v>1</v>
      </c>
      <c r="CT17">
        <v>6</v>
      </c>
      <c r="CU17" cm="1">
        <f t="array" ref="CU17">_xlfn.IFS(CT17=$E$25, $F$25, CT17=$E$26, $F$26, CT17=$E$27, $F$27, CT17=$E$28, $F$28, CT17=$E$29, $F$29, CT17=$E$30, $F$30, CT17=$E$31, $F$31)</f>
        <v>0.75</v>
      </c>
      <c r="CV17">
        <f>1 - ((CU17-CS17)^2) + (1 *CS17)</f>
        <v>1.9375</v>
      </c>
      <c r="CW17" t="s">
        <v>267</v>
      </c>
      <c r="CX17">
        <v>0</v>
      </c>
      <c r="CY17">
        <v>2</v>
      </c>
      <c r="CZ17" cm="1">
        <f t="array" ref="CZ17">_xlfn.IFS(CY17=$E$25, $F$25, CY17=$E$26, $F$26, CY17=$E$27, $F$27, CY17=$E$28, $F$28, CY17=$E$29, $F$29, CY17=$E$30, $F$30, CY17=$E$31, $F$31)</f>
        <v>0.25</v>
      </c>
      <c r="DA17">
        <f>1 - ((CZ17-CX17)^2) + (1 *CX17)</f>
        <v>0.9375</v>
      </c>
    </row>
    <row r="18" spans="1:105">
      <c r="A18" s="3">
        <v>45996.583680555559</v>
      </c>
      <c r="B18">
        <v>11</v>
      </c>
      <c r="C18" s="2">
        <f>ROUND(SUMIF($F$1:$CS$1, "Weighted Score", $F18:$CS18),2)</f>
        <v>25.83</v>
      </c>
      <c r="D18" t="s">
        <v>268</v>
      </c>
      <c r="E18" t="s">
        <v>269</v>
      </c>
      <c r="F18" t="s">
        <v>50</v>
      </c>
      <c r="G18">
        <v>0</v>
      </c>
      <c r="H18">
        <v>3</v>
      </c>
      <c r="I18" cm="1">
        <f t="array" ref="I18">_xlfn.IFS(H18=$E$25, $F$25, H18=$E$26, $F$26, H18=$E$27, $F$27, H18=$E$28, $F$28, H18=$E$29, $F$29, H18=$E$30, $F$30, H18=$E$31, $F$31)</f>
        <v>0.4</v>
      </c>
      <c r="J18">
        <f>1 - ((I18-G18)^2) + (1 *G18)</f>
        <v>0.84</v>
      </c>
      <c r="K18" t="s">
        <v>51</v>
      </c>
      <c r="L18">
        <v>1</v>
      </c>
      <c r="M18">
        <v>7</v>
      </c>
      <c r="N18" cm="1">
        <f t="array" ref="N18">_xlfn.IFS(M18=$E$25, $F$25, M18=$E$26, $F$26, M18=$E$27, $F$27, M18=$E$28, $F$28, M18=$E$29, $F$29, M18=$E$30, $F$30, M18=$E$31, $F$31)</f>
        <v>0.9</v>
      </c>
      <c r="O18">
        <f>1 - ((N18-L18)^2) + (1 *L18)</f>
        <v>1.99</v>
      </c>
      <c r="P18">
        <v>1998</v>
      </c>
      <c r="Q18">
        <v>1</v>
      </c>
      <c r="R18">
        <v>7</v>
      </c>
      <c r="S18" cm="1">
        <f t="array" ref="S18">_xlfn.IFS(R18=$E$25, $F$25, R18=$E$26, $F$26, R18=$E$27, $F$27, R18=$E$28, $F$28, R18=$E$29, $F$29, R18=$E$30, $F$30, R18=$E$31, $F$31)</f>
        <v>0.9</v>
      </c>
      <c r="T18">
        <f>1 - ((S18-Q18)^2) + (1 *Q18)</f>
        <v>1.99</v>
      </c>
      <c r="U18">
        <v>18</v>
      </c>
      <c r="V18">
        <v>1</v>
      </c>
      <c r="W18">
        <v>7</v>
      </c>
      <c r="X18" cm="1">
        <f t="array" ref="X18">_xlfn.IFS(W18=$E$25, $F$25, W18=$E$26, $F$26, W18=$E$27, $F$27, W18=$E$28, $F$28, W18=$E$29, $F$29, W18=$E$30, $F$30, W18=$E$31, $F$31)</f>
        <v>0.9</v>
      </c>
      <c r="Y18">
        <f>1 - ((X18-V18)^2) + (1 *V18)</f>
        <v>1.99</v>
      </c>
      <c r="Z18">
        <v>5</v>
      </c>
      <c r="AA18">
        <v>1</v>
      </c>
      <c r="AB18">
        <v>7</v>
      </c>
      <c r="AC18" cm="1">
        <f t="array" ref="AC18">_xlfn.IFS(AB18=$E$25, $F$25, AB18=$E$26, $F$26, AB18=$E$27, $F$27, AB18=$E$28, $F$28, AB18=$E$29, $F$29, AB18=$E$30, $F$30, AB18=$E$31, $F$31)</f>
        <v>0.9</v>
      </c>
      <c r="AD18">
        <f>1 - ((AC18-AA18)^2) + (1 *AA18)</f>
        <v>1.99</v>
      </c>
      <c r="AE18" s="1">
        <v>0.22</v>
      </c>
      <c r="AF18">
        <v>0</v>
      </c>
      <c r="AG18">
        <v>1</v>
      </c>
      <c r="AH18" cm="1">
        <f t="array" ref="AH18">_xlfn.IFS(AG18=$E$25, $F$25, AG18=$E$26, $F$26, AG18=$E$27, $F$27, AG18=$E$28, $F$28, AG18=$E$29, $F$29, AG18=$E$30, $F$30, AG18=$E$31, $F$31)</f>
        <v>0.1</v>
      </c>
      <c r="AI18">
        <f>1 - ((AH18-AF18)^2) + (1 *AF18)</f>
        <v>0.99</v>
      </c>
      <c r="AJ18" t="s">
        <v>122</v>
      </c>
      <c r="AK18">
        <v>0</v>
      </c>
      <c r="AL18">
        <v>5</v>
      </c>
      <c r="AM18" cm="1">
        <f t="array" ref="AM18">_xlfn.IFS(AL18=$E$25, $F$25, AL18=$E$26, $F$26, AL18=$E$27, $F$27, AL18=$E$28, $F$28, AL18=$E$29, $F$29, AL18=$E$30, $F$30, AL18=$E$31, $F$31)</f>
        <v>0.6</v>
      </c>
      <c r="AN18">
        <f>1 - ((AM18-AK18)^2) + (1 *AK18)</f>
        <v>0.64</v>
      </c>
      <c r="AO18" t="s">
        <v>53</v>
      </c>
      <c r="AP18">
        <v>1</v>
      </c>
      <c r="AQ18">
        <v>6</v>
      </c>
      <c r="AR18" cm="1">
        <f t="array" ref="AR18">_xlfn.IFS(AQ18=$E$25, $F$25, AQ18=$E$26, $F$26, AQ18=$E$27, $F$27, AQ18=$E$28, $F$28, AQ18=$E$29, $F$29, AQ18=$E$30, $F$30, AQ18=$E$31, $F$31)</f>
        <v>0.75</v>
      </c>
      <c r="AS18">
        <f>1 - ((AR18-AP18)^2) + (1 *AP18)</f>
        <v>1.9375</v>
      </c>
      <c r="AT18" t="s">
        <v>78</v>
      </c>
      <c r="AU18">
        <v>0</v>
      </c>
      <c r="AV18">
        <v>1</v>
      </c>
      <c r="AW18" cm="1">
        <f t="array" ref="AW18">_xlfn.IFS(AV18=$E$25, $F$25, AV18=$E$26, $F$26, AV18=$E$27, $F$27, AV18=$E$28, $F$28, AV18=$E$29, $F$29, AV18=$E$30, $F$30, AV18=$E$31, $F$31)</f>
        <v>0.1</v>
      </c>
      <c r="AX18">
        <f>1 - ((AW18-AU18)^2) + (1 *AU18)</f>
        <v>0.99</v>
      </c>
      <c r="AY18" t="s">
        <v>68</v>
      </c>
      <c r="AZ18">
        <v>1</v>
      </c>
      <c r="BA18">
        <v>6</v>
      </c>
      <c r="BB18" cm="1">
        <f t="array" ref="BB18">_xlfn.IFS(BA18=$E$25, $F$25, BA18=$E$26, $F$26, BA18=$E$27, $F$27, BA18=$E$28, $F$28, BA18=$E$29, $F$29, BA18=$E$30, $F$30, BA18=$E$31, $F$31)</f>
        <v>0.75</v>
      </c>
      <c r="BC18">
        <f>1 - ((BB18-AZ18)^2) + (1 *AZ18)</f>
        <v>1.9375</v>
      </c>
      <c r="BD18" t="s">
        <v>270</v>
      </c>
      <c r="BE18">
        <v>0</v>
      </c>
      <c r="BF18">
        <v>1</v>
      </c>
      <c r="BG18" cm="1">
        <f t="array" ref="BG18">_xlfn.IFS(BF18=$E$25, $F$25, BF18=$E$26, $F$26, BF18=$E$27, $F$27, BF18=$E$28, $F$28, BF18=$E$29, $F$29, BF18=$E$30, $F$30, BF18=$E$31, $F$31)</f>
        <v>0.1</v>
      </c>
      <c r="BH18">
        <f>1 - ((BG18-BE18)^2) + (1 *BE18)</f>
        <v>0.99</v>
      </c>
      <c r="BI18" t="s">
        <v>271</v>
      </c>
      <c r="BJ18">
        <v>0</v>
      </c>
      <c r="BK18">
        <v>1</v>
      </c>
      <c r="BL18" cm="1">
        <f t="array" ref="BL18">_xlfn.IFS(BK18=$E$25, $F$25, BK18=$E$26, $F$26, BK18=$E$27, $F$27, BK18=$E$28, $F$28, BK18=$E$29, $F$29, BK18=$E$30, $F$30, BK18=$E$31, $F$31)</f>
        <v>0.1</v>
      </c>
      <c r="BM18">
        <f>1 - ((BL18-BJ18)^2) + (1 *BJ18)</f>
        <v>0.99</v>
      </c>
      <c r="BN18" t="s">
        <v>88</v>
      </c>
      <c r="BO18">
        <v>1</v>
      </c>
      <c r="BP18">
        <v>3</v>
      </c>
      <c r="BQ18" cm="1">
        <f t="array" ref="BQ18">_xlfn.IFS(BP18=$E$25, $F$25, BP18=$E$26, $F$26, BP18=$E$27, $F$27, BP18=$E$28, $F$28, BP18=$E$29, $F$29, BP18=$E$30, $F$30, BP18=$E$31, $F$31)</f>
        <v>0.4</v>
      </c>
      <c r="BR18">
        <f>1 - ((BQ18-BO18)^2) + (1 *BO18)</f>
        <v>1.6400000000000001</v>
      </c>
      <c r="BS18" t="s">
        <v>59</v>
      </c>
      <c r="BT18">
        <v>0</v>
      </c>
      <c r="BU18">
        <v>1</v>
      </c>
      <c r="BV18" cm="1">
        <f t="array" ref="BV18">_xlfn.IFS(BU18=$E$25, $F$25, BU18=$E$26, $F$26, BU18=$E$27, $F$27, BU18=$E$28, $F$28, BU18=$E$29, $F$29, BU18=$E$30, $F$30, BU18=$E$31, $F$31)</f>
        <v>0.1</v>
      </c>
      <c r="BW18">
        <f>1 - ((BV18-BT18)^2) + (1 *BT18)</f>
        <v>0.99</v>
      </c>
      <c r="BX18" t="s">
        <v>60</v>
      </c>
      <c r="BY18">
        <v>1</v>
      </c>
      <c r="BZ18">
        <v>1</v>
      </c>
      <c r="CA18" cm="1">
        <f t="array" ref="CA18">_xlfn.IFS(BZ18=$E$25, $F$25, BZ18=$E$26, $F$26, BZ18=$E$27, $F$27, BZ18=$E$28, $F$28, BZ18=$E$29, $F$29, BZ18=$E$30, $F$30, BZ18=$E$31, $F$31)</f>
        <v>0.1</v>
      </c>
      <c r="CB18">
        <f>1 - ((CA18-BY18)^2) + (1 *BY18)</f>
        <v>1.19</v>
      </c>
      <c r="CC18" t="s">
        <v>61</v>
      </c>
      <c r="CD18">
        <v>1</v>
      </c>
      <c r="CE18">
        <v>7</v>
      </c>
      <c r="CF18" cm="1">
        <f t="array" ref="CF18">_xlfn.IFS(CE18=$E$25, $F$25, CE18=$E$26, $F$26, CE18=$E$27, $F$27, CE18=$E$28, $F$28, CE18=$E$29, $F$29, CE18=$E$30, $F$30, CE18=$E$31, $F$31)</f>
        <v>0.9</v>
      </c>
      <c r="CG18">
        <f>1 - ((CF18-CD18)^2) + (1 *CD18)</f>
        <v>1.99</v>
      </c>
      <c r="CH18">
        <v>1980</v>
      </c>
      <c r="CI18">
        <v>1</v>
      </c>
      <c r="CJ18">
        <v>7</v>
      </c>
      <c r="CK18" cm="1">
        <f t="array" ref="CK18">_xlfn.IFS(CJ18=$E$25, $F$25, CJ18=$E$26, $F$26, CJ18=$E$27, $F$27, CJ18=$E$28, $F$28, CJ18=$E$29, $F$29, CJ18=$E$30, $F$30, CJ18=$E$31, $F$31)</f>
        <v>0.9</v>
      </c>
      <c r="CL18">
        <f>1 - ((CK18-CI18)^2) + (1 *CI18)</f>
        <v>1.99</v>
      </c>
      <c r="CM18" t="s">
        <v>72</v>
      </c>
      <c r="CN18">
        <v>0</v>
      </c>
      <c r="CO18">
        <v>4</v>
      </c>
      <c r="CP18" cm="1">
        <f t="array" ref="CP18">_xlfn.IFS(CO18=$E$25, $F$25, CO18=$E$26, $F$26, CO18=$E$27, $F$27, CO18=$E$28, $F$28, CO18=$E$29, $F$29, CO18=$E$30, $F$30, CO18=$E$31, $F$31)</f>
        <v>0.5</v>
      </c>
      <c r="CQ18">
        <f>1 - ((CP18-CN18)^2) + (1 *CN18)</f>
        <v>0.75</v>
      </c>
      <c r="CR18">
        <v>12</v>
      </c>
      <c r="CS18">
        <v>1</v>
      </c>
      <c r="CT18">
        <v>6</v>
      </c>
      <c r="CU18" cm="1">
        <f t="array" ref="CU18">_xlfn.IFS(CT18=$E$25, $F$25, CT18=$E$26, $F$26, CT18=$E$27, $F$27, CT18=$E$28, $F$28, CT18=$E$29, $F$29, CT18=$E$30, $F$30, CT18=$E$31, $F$31)</f>
        <v>0.75</v>
      </c>
      <c r="CV18">
        <f>1 - ((CU18-CS18)^2) + (1 *CS18)</f>
        <v>1.9375</v>
      </c>
      <c r="CW18" t="s">
        <v>272</v>
      </c>
      <c r="CX18">
        <v>0</v>
      </c>
      <c r="CY18">
        <v>7</v>
      </c>
      <c r="CZ18" cm="1">
        <f t="array" ref="CZ18">_xlfn.IFS(CY18=$E$25, $F$25, CY18=$E$26, $F$26, CY18=$E$27, $F$27, CY18=$E$28, $F$28, CY18=$E$29, $F$29, CY18=$E$30, $F$30, CY18=$E$31, $F$31)</f>
        <v>0.9</v>
      </c>
      <c r="DA18">
        <f>1 - ((CZ18-CX18)^2) + (1 *CX18)</f>
        <v>0.18999999999999995</v>
      </c>
    </row>
    <row r="19" spans="1:105">
      <c r="A19" s="3">
        <v>45996.779583333337</v>
      </c>
      <c r="B19">
        <v>13</v>
      </c>
      <c r="C19" s="2">
        <f>ROUND(SUMIF($F$1:$CS$1, "Weighted Score", $F19:$CS19),2)</f>
        <v>26.57</v>
      </c>
      <c r="D19" t="s">
        <v>273</v>
      </c>
      <c r="E19" t="s">
        <v>274</v>
      </c>
      <c r="F19" t="s">
        <v>85</v>
      </c>
      <c r="G19">
        <v>1</v>
      </c>
      <c r="H19">
        <v>3</v>
      </c>
      <c r="I19" cm="1">
        <f t="array" ref="I19">_xlfn.IFS(H19=$E$25, $F$25, H19=$E$26, $F$26, H19=$E$27, $F$27, H19=$E$28, $F$28, H19=$E$29, $F$29, H19=$E$30, $F$30, H19=$E$31, $F$31)</f>
        <v>0.4</v>
      </c>
      <c r="J19">
        <f>1 - ((I19-G19)^2) + (1 *G19)</f>
        <v>1.6400000000000001</v>
      </c>
      <c r="K19" t="s">
        <v>51</v>
      </c>
      <c r="L19">
        <v>1</v>
      </c>
      <c r="M19">
        <v>7</v>
      </c>
      <c r="N19" cm="1">
        <f t="array" ref="N19">_xlfn.IFS(M19=$E$25, $F$25, M19=$E$26, $F$26, M19=$E$27, $F$27, M19=$E$28, $F$28, M19=$E$29, $F$29, M19=$E$30, $F$30, M19=$E$31, $F$31)</f>
        <v>0.9</v>
      </c>
      <c r="O19">
        <f>1 - ((N19-L19)^2) + (1 *L19)</f>
        <v>1.99</v>
      </c>
      <c r="P19">
        <v>1998</v>
      </c>
      <c r="Q19">
        <v>1</v>
      </c>
      <c r="R19">
        <v>5</v>
      </c>
      <c r="S19" cm="1">
        <f t="array" ref="S19">_xlfn.IFS(R19=$E$25, $F$25, R19=$E$26, $F$26, R19=$E$27, $F$27, R19=$E$28, $F$28, R19=$E$29, $F$29, R19=$E$30, $F$30, R19=$E$31, $F$31)</f>
        <v>0.6</v>
      </c>
      <c r="T19">
        <f>1 - ((S19-Q19)^2) + (1 *Q19)</f>
        <v>1.8399999999999999</v>
      </c>
      <c r="U19" t="s">
        <v>275</v>
      </c>
      <c r="V19">
        <v>0</v>
      </c>
      <c r="W19">
        <v>1</v>
      </c>
      <c r="X19" cm="1">
        <f t="array" ref="X19">_xlfn.IFS(W19=$E$25, $F$25, W19=$E$26, $F$26, W19=$E$27, $F$27, W19=$E$28, $F$28, W19=$E$29, $F$29, W19=$E$30, $F$30, W19=$E$31, $F$31)</f>
        <v>0.1</v>
      </c>
      <c r="Y19">
        <f>1 - ((X19-V19)^2) + (1 *V19)</f>
        <v>0.99</v>
      </c>
      <c r="Z19">
        <v>5</v>
      </c>
      <c r="AA19">
        <v>1</v>
      </c>
      <c r="AB19">
        <v>7</v>
      </c>
      <c r="AC19" cm="1">
        <f t="array" ref="AC19">_xlfn.IFS(AB19=$E$25, $F$25, AB19=$E$26, $F$26, AB19=$E$27, $F$27, AB19=$E$28, $F$28, AB19=$E$29, $F$29, AB19=$E$30, $F$30, AB19=$E$31, $F$31)</f>
        <v>0.9</v>
      </c>
      <c r="AD19">
        <f>1 - ((AC19-AA19)^2) + (1 *AA19)</f>
        <v>1.99</v>
      </c>
      <c r="AE19" s="1">
        <v>0.25</v>
      </c>
      <c r="AF19">
        <v>0</v>
      </c>
      <c r="AG19">
        <v>1</v>
      </c>
      <c r="AH19" cm="1">
        <f t="array" ref="AH19">_xlfn.IFS(AG19=$E$25, $F$25, AG19=$E$26, $F$26, AG19=$E$27, $F$27, AG19=$E$28, $F$28, AG19=$E$29, $F$29, AG19=$E$30, $F$30, AG19=$E$31, $F$31)</f>
        <v>0.1</v>
      </c>
      <c r="AI19">
        <f>1 - ((AH19-AF19)^2) + (1 *AF19)</f>
        <v>0.99</v>
      </c>
      <c r="AJ19" t="s">
        <v>52</v>
      </c>
      <c r="AK19">
        <v>1</v>
      </c>
      <c r="AL19">
        <v>7</v>
      </c>
      <c r="AM19" cm="1">
        <f t="array" ref="AM19">_xlfn.IFS(AL19=$E$25, $F$25, AL19=$E$26, $F$26, AL19=$E$27, $F$27, AL19=$E$28, $F$28, AL19=$E$29, $F$29, AL19=$E$30, $F$30, AL19=$E$31, $F$31)</f>
        <v>0.9</v>
      </c>
      <c r="AN19">
        <f>1 - ((AM19-AK19)^2) + (1 *AK19)</f>
        <v>1.99</v>
      </c>
      <c r="AO19" t="s">
        <v>77</v>
      </c>
      <c r="AP19">
        <v>0</v>
      </c>
      <c r="AQ19">
        <v>4</v>
      </c>
      <c r="AR19" cm="1">
        <f t="array" ref="AR19">_xlfn.IFS(AQ19=$E$25, $F$25, AQ19=$E$26, $F$26, AQ19=$E$27, $F$27, AQ19=$E$28, $F$28, AQ19=$E$29, $F$29, AQ19=$E$30, $F$30, AQ19=$E$31, $F$31)</f>
        <v>0.5</v>
      </c>
      <c r="AS19">
        <f>1 - ((AR19-AP19)^2) + (1 *AP19)</f>
        <v>0.75</v>
      </c>
      <c r="AT19" t="s">
        <v>54</v>
      </c>
      <c r="AU19">
        <v>1</v>
      </c>
      <c r="AV19">
        <v>5</v>
      </c>
      <c r="AW19" cm="1">
        <f t="array" ref="AW19">_xlfn.IFS(AV19=$E$25, $F$25, AV19=$E$26, $F$26, AV19=$E$27, $F$27, AV19=$E$28, $F$28, AV19=$E$29, $F$29, AV19=$E$30, $F$30, AV19=$E$31, $F$31)</f>
        <v>0.6</v>
      </c>
      <c r="AX19">
        <f>1 - ((AW19-AU19)^2) + (1 *AU19)</f>
        <v>1.8399999999999999</v>
      </c>
      <c r="AY19" t="s">
        <v>55</v>
      </c>
      <c r="AZ19">
        <v>0</v>
      </c>
      <c r="BA19">
        <v>6</v>
      </c>
      <c r="BB19" cm="1">
        <f t="array" ref="BB19">_xlfn.IFS(BA19=$E$25, $F$25, BA19=$E$26, $F$26, BA19=$E$27, $F$27, BA19=$E$28, $F$28, BA19=$E$29, $F$29, BA19=$E$30, $F$30, BA19=$E$31, $F$31)</f>
        <v>0.75</v>
      </c>
      <c r="BC19">
        <f>1 - ((BB19-AZ19)^2) + (1 *AZ19)</f>
        <v>0.4375</v>
      </c>
      <c r="BD19" t="s">
        <v>276</v>
      </c>
      <c r="BE19">
        <v>1</v>
      </c>
      <c r="BF19">
        <v>6</v>
      </c>
      <c r="BG19" cm="1">
        <f t="array" ref="BG19">_xlfn.IFS(BF19=$E$25, $F$25, BF19=$E$26, $F$26, BF19=$E$27, $F$27, BF19=$E$28, $F$28, BF19=$E$29, $F$29, BF19=$E$30, $F$30, BF19=$E$31, $F$31)</f>
        <v>0.75</v>
      </c>
      <c r="BH19">
        <f>1 - ((BG19-BE19)^2) + (1 *BE19)</f>
        <v>1.9375</v>
      </c>
      <c r="BI19" t="s">
        <v>277</v>
      </c>
      <c r="BJ19">
        <v>1</v>
      </c>
      <c r="BK19">
        <v>1</v>
      </c>
      <c r="BL19" cm="1">
        <f t="array" ref="BL19">_xlfn.IFS(BK19=$E$25, $F$25, BK19=$E$26, $F$26, BK19=$E$27, $F$27, BK19=$E$28, $F$28, BK19=$E$29, $F$29, BK19=$E$30, $F$30, BK19=$E$31, $F$31)</f>
        <v>0.1</v>
      </c>
      <c r="BM19">
        <f>1 - ((BL19-BJ19)^2) + (1 *BJ19)</f>
        <v>1.19</v>
      </c>
      <c r="BN19" t="s">
        <v>88</v>
      </c>
      <c r="BO19">
        <v>1</v>
      </c>
      <c r="BP19">
        <v>5</v>
      </c>
      <c r="BQ19" cm="1">
        <f t="array" ref="BQ19">_xlfn.IFS(BP19=$E$25, $F$25, BP19=$E$26, $F$26, BP19=$E$27, $F$27, BP19=$E$28, $F$28, BP19=$E$29, $F$29, BP19=$E$30, $F$30, BP19=$E$31, $F$31)</f>
        <v>0.6</v>
      </c>
      <c r="BR19">
        <f>1 - ((BQ19-BO19)^2) + (1 *BO19)</f>
        <v>1.8399999999999999</v>
      </c>
      <c r="BS19" t="s">
        <v>119</v>
      </c>
      <c r="BT19">
        <v>0</v>
      </c>
      <c r="BU19">
        <v>2</v>
      </c>
      <c r="BV19" cm="1">
        <f t="array" ref="BV19">_xlfn.IFS(BU19=$E$25, $F$25, BU19=$E$26, $F$26, BU19=$E$27, $F$27, BU19=$E$28, $F$28, BU19=$E$29, $F$29, BU19=$E$30, $F$30, BU19=$E$31, $F$31)</f>
        <v>0.25</v>
      </c>
      <c r="BW19">
        <f>1 - ((BV19-BT19)^2) + (1 *BT19)</f>
        <v>0.9375</v>
      </c>
      <c r="BX19" t="s">
        <v>60</v>
      </c>
      <c r="BY19">
        <v>1</v>
      </c>
      <c r="BZ19">
        <v>6</v>
      </c>
      <c r="CA19" cm="1">
        <f t="array" ref="CA19">_xlfn.IFS(BZ19=$E$25, $F$25, BZ19=$E$26, $F$26, BZ19=$E$27, $F$27, BZ19=$E$28, $F$28, BZ19=$E$29, $F$29, BZ19=$E$30, $F$30, BZ19=$E$31, $F$31)</f>
        <v>0.75</v>
      </c>
      <c r="CB19">
        <f>1 - ((CA19-BY19)^2) + (1 *BY19)</f>
        <v>1.9375</v>
      </c>
      <c r="CC19" t="s">
        <v>61</v>
      </c>
      <c r="CD19">
        <v>1</v>
      </c>
      <c r="CE19">
        <v>7</v>
      </c>
      <c r="CF19" cm="1">
        <f t="array" ref="CF19">_xlfn.IFS(CE19=$E$25, $F$25, CE19=$E$26, $F$26, CE19=$E$27, $F$27, CE19=$E$28, $F$28, CE19=$E$29, $F$29, CE19=$E$30, $F$30, CE19=$E$31, $F$31)</f>
        <v>0.9</v>
      </c>
      <c r="CG19">
        <f>1 - ((CF19-CD19)^2) + (1 *CD19)</f>
        <v>1.99</v>
      </c>
      <c r="CH19">
        <v>1980</v>
      </c>
      <c r="CI19">
        <v>1</v>
      </c>
      <c r="CJ19">
        <v>5</v>
      </c>
      <c r="CK19" cm="1">
        <f t="array" ref="CK19">_xlfn.IFS(CJ19=$E$25, $F$25, CJ19=$E$26, $F$26, CJ19=$E$27, $F$27, CJ19=$E$28, $F$28, CJ19=$E$29, $F$29, CJ19=$E$30, $F$30, CJ19=$E$31, $F$31)</f>
        <v>0.6</v>
      </c>
      <c r="CL19">
        <f>1 - ((CK19-CI19)^2) + (1 *CI19)</f>
        <v>1.8399999999999999</v>
      </c>
      <c r="CM19" t="s">
        <v>159</v>
      </c>
      <c r="CN19">
        <v>0</v>
      </c>
      <c r="CO19">
        <v>6</v>
      </c>
      <c r="CP19" cm="1">
        <f t="array" ref="CP19">_xlfn.IFS(CO19=$E$25, $F$25, CO19=$E$26, $F$26, CO19=$E$27, $F$27, CO19=$E$28, $F$28, CO19=$E$29, $F$29, CO19=$E$30, $F$30, CO19=$E$31, $F$31)</f>
        <v>0.75</v>
      </c>
      <c r="CQ19">
        <f>1 - ((CP19-CN19)^2) + (1 *CN19)</f>
        <v>0.4375</v>
      </c>
      <c r="CR19" t="s">
        <v>278</v>
      </c>
      <c r="CS19">
        <v>0</v>
      </c>
      <c r="CT19">
        <v>1</v>
      </c>
      <c r="CU19" cm="1">
        <f t="array" ref="CU19">_xlfn.IFS(CT19=$E$25, $F$25, CT19=$E$26, $F$26, CT19=$E$27, $F$27, CT19=$E$28, $F$28, CT19=$E$29, $F$29, CT19=$E$30, $F$30, CT19=$E$31, $F$31)</f>
        <v>0.1</v>
      </c>
      <c r="CV19">
        <f>1 - ((CU19-CS19)^2) + (1 *CS19)</f>
        <v>0.99</v>
      </c>
      <c r="CW19" t="s">
        <v>182</v>
      </c>
      <c r="CX19">
        <v>1</v>
      </c>
      <c r="CY19">
        <v>7</v>
      </c>
      <c r="CZ19" cm="1">
        <f t="array" ref="CZ19">_xlfn.IFS(CY19=$E$25, $F$25, CY19=$E$26, $F$26, CY19=$E$27, $F$27, CY19=$E$28, $F$28, CY19=$E$29, $F$29, CY19=$E$30, $F$30, CY19=$E$31, $F$31)</f>
        <v>0.9</v>
      </c>
      <c r="DA19">
        <f>1 - ((CZ19-CX19)^2) + (1 *CX19)</f>
        <v>1.99</v>
      </c>
    </row>
    <row r="20" spans="1:105">
      <c r="A20" s="3">
        <v>45996.779641203706</v>
      </c>
      <c r="B20">
        <v>7</v>
      </c>
      <c r="C20" s="2">
        <f>ROUND(SUMIF($F$1:$CS$1, "Weighted Score", $F20:$CS20),2)</f>
        <v>20.75</v>
      </c>
      <c r="D20" t="s">
        <v>279</v>
      </c>
      <c r="E20" t="s">
        <v>280</v>
      </c>
      <c r="F20" t="s">
        <v>103</v>
      </c>
      <c r="G20">
        <v>0</v>
      </c>
      <c r="H20">
        <v>5</v>
      </c>
      <c r="I20" cm="1">
        <f t="array" ref="I20">_xlfn.IFS(H20=$E$25, $F$25, H20=$E$26, $F$26, H20=$E$27, $F$27, H20=$E$28, $F$28, H20=$E$29, $F$29, H20=$E$30, $F$30, H20=$E$31, $F$31)</f>
        <v>0.6</v>
      </c>
      <c r="J20">
        <f>1 - ((I20-G20)^2) + (1 *G20)</f>
        <v>0.64</v>
      </c>
      <c r="K20" t="s">
        <v>51</v>
      </c>
      <c r="L20">
        <v>1</v>
      </c>
      <c r="M20">
        <v>7</v>
      </c>
      <c r="N20" cm="1">
        <f t="array" ref="N20">_xlfn.IFS(M20=$E$25, $F$25, M20=$E$26, $F$26, M20=$E$27, $F$27, M20=$E$28, $F$28, M20=$E$29, $F$29, M20=$E$30, $F$30, M20=$E$31, $F$31)</f>
        <v>0.9</v>
      </c>
      <c r="O20">
        <f>1 - ((N20-L20)^2) + (1 *L20)</f>
        <v>1.99</v>
      </c>
      <c r="P20">
        <v>1989</v>
      </c>
      <c r="Q20">
        <v>0</v>
      </c>
      <c r="R20">
        <v>2</v>
      </c>
      <c r="S20" cm="1">
        <f t="array" ref="S20">_xlfn.IFS(R20=$E$25, $F$25, R20=$E$26, $F$26, R20=$E$27, $F$27, R20=$E$28, $F$28, R20=$E$29, $F$29, R20=$E$30, $F$30, R20=$E$31, $F$31)</f>
        <v>0.25</v>
      </c>
      <c r="T20">
        <f>1 - ((S20-Q20)^2) + (1 *Q20)</f>
        <v>0.9375</v>
      </c>
      <c r="U20">
        <v>20</v>
      </c>
      <c r="V20">
        <v>0</v>
      </c>
      <c r="W20">
        <v>3</v>
      </c>
      <c r="X20" cm="1">
        <f t="array" ref="X20">_xlfn.IFS(W20=$E$25, $F$25, W20=$E$26, $F$26, W20=$E$27, $F$27, W20=$E$28, $F$28, W20=$E$29, $F$29, W20=$E$30, $F$30, W20=$E$31, $F$31)</f>
        <v>0.4</v>
      </c>
      <c r="Y20">
        <f>1 - ((X20-V20)^2) + (1 *V20)</f>
        <v>0.84</v>
      </c>
      <c r="Z20">
        <v>9</v>
      </c>
      <c r="AA20">
        <v>0</v>
      </c>
      <c r="AB20">
        <v>3</v>
      </c>
      <c r="AC20" cm="1">
        <f t="array" ref="AC20">_xlfn.IFS(AB20=$E$25, $F$25, AB20=$E$26, $F$26, AB20=$E$27, $F$27, AB20=$E$28, $F$28, AB20=$E$29, $F$29, AB20=$E$30, $F$30, AB20=$E$31, $F$31)</f>
        <v>0.4</v>
      </c>
      <c r="AD20">
        <f>1 - ((AC20-AA20)^2) + (1 *AA20)</f>
        <v>0.84</v>
      </c>
      <c r="AE20" s="1">
        <v>0.2</v>
      </c>
      <c r="AF20">
        <v>1</v>
      </c>
      <c r="AG20">
        <v>3</v>
      </c>
      <c r="AH20" cm="1">
        <f t="array" ref="AH20">_xlfn.IFS(AG20=$E$25, $F$25, AG20=$E$26, $F$26, AG20=$E$27, $F$27, AG20=$E$28, $F$28, AG20=$E$29, $F$29, AG20=$E$30, $F$30, AG20=$E$31, $F$31)</f>
        <v>0.4</v>
      </c>
      <c r="AI20">
        <f>1 - ((AH20-AF20)^2) + (1 *AF20)</f>
        <v>1.6400000000000001</v>
      </c>
      <c r="AJ20" t="s">
        <v>152</v>
      </c>
      <c r="AK20">
        <v>0</v>
      </c>
      <c r="AL20">
        <v>4</v>
      </c>
      <c r="AM20" cm="1">
        <f t="array" ref="AM20">_xlfn.IFS(AL20=$E$25, $F$25, AL20=$E$26, $F$26, AL20=$E$27, $F$27, AL20=$E$28, $F$28, AL20=$E$29, $F$29, AL20=$E$30, $F$30, AL20=$E$31, $F$31)</f>
        <v>0.5</v>
      </c>
      <c r="AN20">
        <f>1 - ((AM20-AK20)^2) + (1 *AK20)</f>
        <v>0.75</v>
      </c>
      <c r="AO20" t="s">
        <v>77</v>
      </c>
      <c r="AP20">
        <v>0</v>
      </c>
      <c r="AQ20">
        <v>3</v>
      </c>
      <c r="AR20" cm="1">
        <f t="array" ref="AR20">_xlfn.IFS(AQ20=$E$25, $F$25, AQ20=$E$26, $F$26, AQ20=$E$27, $F$27, AQ20=$E$28, $F$28, AQ20=$E$29, $F$29, AQ20=$E$30, $F$30, AQ20=$E$31, $F$31)</f>
        <v>0.4</v>
      </c>
      <c r="AS20">
        <f>1 - ((AR20-AP20)^2) + (1 *AP20)</f>
        <v>0.84</v>
      </c>
      <c r="AT20" t="s">
        <v>54</v>
      </c>
      <c r="AU20">
        <v>1</v>
      </c>
      <c r="AV20">
        <v>7</v>
      </c>
      <c r="AW20" cm="1">
        <f t="array" ref="AW20">_xlfn.IFS(AV20=$E$25, $F$25, AV20=$E$26, $F$26, AV20=$E$27, $F$27, AV20=$E$28, $F$28, AV20=$E$29, $F$29, AV20=$E$30, $F$30, AV20=$E$31, $F$31)</f>
        <v>0.9</v>
      </c>
      <c r="AX20">
        <f>1 - ((AW20-AU20)^2) + (1 *AU20)</f>
        <v>1.99</v>
      </c>
      <c r="AY20" t="s">
        <v>68</v>
      </c>
      <c r="AZ20">
        <v>1</v>
      </c>
      <c r="BA20">
        <v>7</v>
      </c>
      <c r="BB20" cm="1">
        <f t="array" ref="BB20">_xlfn.IFS(BA20=$E$25, $F$25, BA20=$E$26, $F$26, BA20=$E$27, $F$27, BA20=$E$28, $F$28, BA20=$E$29, $F$29, BA20=$E$30, $F$30, BA20=$E$31, $F$31)</f>
        <v>0.9</v>
      </c>
      <c r="BC20">
        <f>1 - ((BB20-AZ20)^2) + (1 *AZ20)</f>
        <v>1.99</v>
      </c>
      <c r="BD20" t="s">
        <v>281</v>
      </c>
      <c r="BE20">
        <v>0</v>
      </c>
      <c r="BF20">
        <v>3</v>
      </c>
      <c r="BG20" cm="1">
        <f t="array" ref="BG20">_xlfn.IFS(BF20=$E$25, $F$25, BF20=$E$26, $F$26, BF20=$E$27, $F$27, BF20=$E$28, $F$28, BF20=$E$29, $F$29, BF20=$E$30, $F$30, BF20=$E$31, $F$31)</f>
        <v>0.4</v>
      </c>
      <c r="BH20">
        <f>1 - ((BG20-BE20)^2) + (1 *BE20)</f>
        <v>0.84</v>
      </c>
      <c r="BI20" t="s">
        <v>282</v>
      </c>
      <c r="BJ20">
        <v>0</v>
      </c>
      <c r="BK20">
        <v>3</v>
      </c>
      <c r="BL20" cm="1">
        <f t="array" ref="BL20">_xlfn.IFS(BK20=$E$25, $F$25, BK20=$E$26, $F$26, BK20=$E$27, $F$27, BK20=$E$28, $F$28, BK20=$E$29, $F$29, BK20=$E$30, $F$30, BK20=$E$31, $F$31)</f>
        <v>0.4</v>
      </c>
      <c r="BM20">
        <f>1 - ((BL20-BJ20)^2) + (1 *BJ20)</f>
        <v>0.84</v>
      </c>
      <c r="BN20" t="s">
        <v>88</v>
      </c>
      <c r="BO20">
        <v>1</v>
      </c>
      <c r="BP20">
        <v>4</v>
      </c>
      <c r="BQ20" cm="1">
        <f t="array" ref="BQ20">_xlfn.IFS(BP20=$E$25, $F$25, BP20=$E$26, $F$26, BP20=$E$27, $F$27, BP20=$E$28, $F$28, BP20=$E$29, $F$29, BP20=$E$30, $F$30, BP20=$E$31, $F$31)</f>
        <v>0.5</v>
      </c>
      <c r="BR20">
        <f>1 - ((BQ20-BO20)^2) + (1 *BO20)</f>
        <v>1.75</v>
      </c>
      <c r="BS20" t="s">
        <v>81</v>
      </c>
      <c r="BT20">
        <v>0</v>
      </c>
      <c r="BU20">
        <v>3</v>
      </c>
      <c r="BV20" cm="1">
        <f t="array" ref="BV20">_xlfn.IFS(BU20=$E$25, $F$25, BU20=$E$26, $F$26, BU20=$E$27, $F$27, BU20=$E$28, $F$28, BU20=$E$29, $F$29, BU20=$E$30, $F$30, BU20=$E$31, $F$31)</f>
        <v>0.4</v>
      </c>
      <c r="BW20">
        <f>1 - ((BV20-BT20)^2) + (1 *BT20)</f>
        <v>0.84</v>
      </c>
      <c r="BX20" t="s">
        <v>105</v>
      </c>
      <c r="BY20">
        <v>0</v>
      </c>
      <c r="BZ20">
        <v>5</v>
      </c>
      <c r="CA20" cm="1">
        <f t="array" ref="CA20">_xlfn.IFS(BZ20=$E$25, $F$25, BZ20=$E$26, $F$26, BZ20=$E$27, $F$27, BZ20=$E$28, $F$28, BZ20=$E$29, $F$29, BZ20=$E$30, $F$30, BZ20=$E$31, $F$31)</f>
        <v>0.6</v>
      </c>
      <c r="CB20">
        <f>1 - ((CA20-BY20)^2) + (1 *BY20)</f>
        <v>0.64</v>
      </c>
      <c r="CC20" t="s">
        <v>61</v>
      </c>
      <c r="CD20">
        <v>1</v>
      </c>
      <c r="CE20">
        <v>7</v>
      </c>
      <c r="CF20" cm="1">
        <f t="array" ref="CF20">_xlfn.IFS(CE20=$E$25, $F$25, CE20=$E$26, $F$26, CE20=$E$27, $F$27, CE20=$E$28, $F$28, CE20=$E$29, $F$29, CE20=$E$30, $F$30, CE20=$E$31, $F$31)</f>
        <v>0.9</v>
      </c>
      <c r="CG20">
        <f>1 - ((CF20-CD20)^2) + (1 *CD20)</f>
        <v>1.99</v>
      </c>
      <c r="CH20">
        <v>2003</v>
      </c>
      <c r="CI20">
        <v>0</v>
      </c>
      <c r="CJ20">
        <v>4</v>
      </c>
      <c r="CK20" cm="1">
        <f t="array" ref="CK20">_xlfn.IFS(CJ20=$E$25, $F$25, CJ20=$E$26, $F$26, CJ20=$E$27, $F$27, CJ20=$E$28, $F$28, CJ20=$E$29, $F$29, CJ20=$E$30, $F$30, CJ20=$E$31, $F$31)</f>
        <v>0.5</v>
      </c>
      <c r="CL20">
        <f>1 - ((CK20-CI20)^2) + (1 *CI20)</f>
        <v>0.75</v>
      </c>
      <c r="CM20" t="s">
        <v>62</v>
      </c>
      <c r="CN20">
        <v>0</v>
      </c>
      <c r="CO20">
        <v>5</v>
      </c>
      <c r="CP20" cm="1">
        <f t="array" ref="CP20">_xlfn.IFS(CO20=$E$25, $F$25, CO20=$E$26, $F$26, CO20=$E$27, $F$27, CO20=$E$28, $F$28, CO20=$E$29, $F$29, CO20=$E$30, $F$30, CO20=$E$31, $F$31)</f>
        <v>0.6</v>
      </c>
      <c r="CQ20">
        <f>1 - ((CP20-CN20)^2) + (1 *CN20)</f>
        <v>0.64</v>
      </c>
      <c r="CR20">
        <v>7</v>
      </c>
      <c r="CS20">
        <v>0</v>
      </c>
      <c r="CT20">
        <v>3</v>
      </c>
      <c r="CU20" cm="1">
        <f t="array" ref="CU20">_xlfn.IFS(CT20=$E$25, $F$25, CT20=$E$26, $F$26, CT20=$E$27, $F$27, CT20=$E$28, $F$28, CT20=$E$29, $F$29, CT20=$E$30, $F$30, CT20=$E$31, $F$31)</f>
        <v>0.4</v>
      </c>
      <c r="CV20">
        <f>1 - ((CU20-CS20)^2) + (1 *CS20)</f>
        <v>0.84</v>
      </c>
      <c r="CW20" t="s">
        <v>182</v>
      </c>
      <c r="CX20">
        <v>1</v>
      </c>
      <c r="CY20">
        <v>7</v>
      </c>
      <c r="CZ20" cm="1">
        <f t="array" ref="CZ20">_xlfn.IFS(CY20=$E$25, $F$25, CY20=$E$26, $F$26, CY20=$E$27, $F$27, CY20=$E$28, $F$28, CY20=$E$29, $F$29, CY20=$E$30, $F$30, CY20=$E$31, $F$31)</f>
        <v>0.9</v>
      </c>
      <c r="DA20">
        <f>1 - ((CZ20-CX20)^2) + (1 *CX20)</f>
        <v>1.99</v>
      </c>
    </row>
    <row r="21" spans="1:105">
      <c r="A21" s="3">
        <v>45996.779699074075</v>
      </c>
      <c r="B21">
        <v>15</v>
      </c>
      <c r="C21" s="2">
        <f>ROUND(SUMIF($F$1:$CS$1, "Weighted Score", $F21:$CS21),2)</f>
        <v>29.11</v>
      </c>
      <c r="D21" t="s">
        <v>283</v>
      </c>
      <c r="E21" t="s">
        <v>284</v>
      </c>
      <c r="F21" t="s">
        <v>85</v>
      </c>
      <c r="G21">
        <v>1</v>
      </c>
      <c r="H21">
        <v>7</v>
      </c>
      <c r="I21" cm="1">
        <f t="array" ref="I21">_xlfn.IFS(H21=$E$25, $F$25, H21=$E$26, $F$26, H21=$E$27, $F$27, H21=$E$28, $F$28, H21=$E$29, $F$29, H21=$E$30, $F$30, H21=$E$31, $F$31)</f>
        <v>0.9</v>
      </c>
      <c r="J21">
        <f>1 - ((I21-G21)^2) + (1 *G21)</f>
        <v>1.99</v>
      </c>
      <c r="K21" t="s">
        <v>51</v>
      </c>
      <c r="L21">
        <v>1</v>
      </c>
      <c r="M21">
        <v>7</v>
      </c>
      <c r="N21" cm="1">
        <f t="array" ref="N21">_xlfn.IFS(M21=$E$25, $F$25, M21=$E$26, $F$26, M21=$E$27, $F$27, M21=$E$28, $F$28, M21=$E$29, $F$29, M21=$E$30, $F$30, M21=$E$31, $F$31)</f>
        <v>0.9</v>
      </c>
      <c r="O21">
        <f>1 - ((N21-L21)^2) + (1 *L21)</f>
        <v>1.99</v>
      </c>
      <c r="P21">
        <v>1998</v>
      </c>
      <c r="Q21">
        <v>1</v>
      </c>
      <c r="R21">
        <v>7</v>
      </c>
      <c r="S21" cm="1">
        <f t="array" ref="S21">_xlfn.IFS(R21=$E$25, $F$25, R21=$E$26, $F$26, R21=$E$27, $F$27, R21=$E$28, $F$28, R21=$E$29, $F$29, R21=$E$30, $F$30, R21=$E$31, $F$31)</f>
        <v>0.9</v>
      </c>
      <c r="T21">
        <f>1 - ((S21-Q21)^2) + (1 *Q21)</f>
        <v>1.99</v>
      </c>
      <c r="U21">
        <v>18</v>
      </c>
      <c r="V21">
        <v>1</v>
      </c>
      <c r="W21">
        <v>7</v>
      </c>
      <c r="X21" cm="1">
        <f t="array" ref="X21">_xlfn.IFS(W21=$E$25, $F$25, W21=$E$26, $F$26, W21=$E$27, $F$27, W21=$E$28, $F$28, W21=$E$29, $F$29, W21=$E$30, $F$30, W21=$E$31, $F$31)</f>
        <v>0.9</v>
      </c>
      <c r="Y21">
        <f>1 - ((X21-V21)^2) + (1 *V21)</f>
        <v>1.99</v>
      </c>
      <c r="Z21" s="1">
        <v>0.05</v>
      </c>
      <c r="AA21">
        <v>1</v>
      </c>
      <c r="AB21">
        <v>7</v>
      </c>
      <c r="AC21" cm="1">
        <f t="array" ref="AC21">_xlfn.IFS(AB21=$E$25, $F$25, AB21=$E$26, $F$26, AB21=$E$27, $F$27, AB21=$E$28, $F$28, AB21=$E$29, $F$29, AB21=$E$30, $F$30, AB21=$E$31, $F$31)</f>
        <v>0.9</v>
      </c>
      <c r="AD21">
        <f>1 - ((AC21-AA21)^2) + (1 *AA21)</f>
        <v>1.99</v>
      </c>
      <c r="AE21" s="1">
        <v>0.15</v>
      </c>
      <c r="AF21">
        <v>0</v>
      </c>
      <c r="AG21">
        <v>6</v>
      </c>
      <c r="AH21" cm="1">
        <f t="array" ref="AH21">_xlfn.IFS(AG21=$E$25, $F$25, AG21=$E$26, $F$26, AG21=$E$27, $F$27, AG21=$E$28, $F$28, AG21=$E$29, $F$29, AG21=$E$30, $F$30, AG21=$E$31, $F$31)</f>
        <v>0.75</v>
      </c>
      <c r="AI21">
        <f>1 - ((AH21-AF21)^2) + (1 *AF21)</f>
        <v>0.4375</v>
      </c>
      <c r="AJ21" t="s">
        <v>152</v>
      </c>
      <c r="AK21">
        <v>0</v>
      </c>
      <c r="AL21">
        <v>4</v>
      </c>
      <c r="AM21" cm="1">
        <f t="array" ref="AM21">_xlfn.IFS(AL21=$E$25, $F$25, AL21=$E$26, $F$26, AL21=$E$27, $F$27, AL21=$E$28, $F$28, AL21=$E$29, $F$29, AL21=$E$30, $F$30, AL21=$E$31, $F$31)</f>
        <v>0.5</v>
      </c>
      <c r="AN21">
        <f>1 - ((AM21-AK21)^2) + (1 *AK21)</f>
        <v>0.75</v>
      </c>
      <c r="AO21" t="s">
        <v>53</v>
      </c>
      <c r="AP21">
        <v>1</v>
      </c>
      <c r="AQ21">
        <v>7</v>
      </c>
      <c r="AR21" cm="1">
        <f t="array" ref="AR21">_xlfn.IFS(AQ21=$E$25, $F$25, AQ21=$E$26, $F$26, AQ21=$E$27, $F$27, AQ21=$E$28, $F$28, AQ21=$E$29, $F$29, AQ21=$E$30, $F$30, AQ21=$E$31, $F$31)</f>
        <v>0.9</v>
      </c>
      <c r="AS21">
        <f>1 - ((AR21-AP21)^2) + (1 *AP21)</f>
        <v>1.99</v>
      </c>
      <c r="AT21" t="s">
        <v>54</v>
      </c>
      <c r="AU21">
        <v>1</v>
      </c>
      <c r="AV21">
        <v>6</v>
      </c>
      <c r="AW21" cm="1">
        <f t="array" ref="AW21">_xlfn.IFS(AV21=$E$25, $F$25, AV21=$E$26, $F$26, AV21=$E$27, $F$27, AV21=$E$28, $F$28, AV21=$E$29, $F$29, AV21=$E$30, $F$30, AV21=$E$31, $F$31)</f>
        <v>0.75</v>
      </c>
      <c r="AX21">
        <f>1 - ((AW21-AU21)^2) + (1 *AU21)</f>
        <v>1.9375</v>
      </c>
      <c r="AY21" t="s">
        <v>68</v>
      </c>
      <c r="AZ21">
        <v>1</v>
      </c>
      <c r="BA21">
        <v>7</v>
      </c>
      <c r="BB21" cm="1">
        <f t="array" ref="BB21">_xlfn.IFS(BA21=$E$25, $F$25, BA21=$E$26, $F$26, BA21=$E$27, $F$27, BA21=$E$28, $F$28, BA21=$E$29, $F$29, BA21=$E$30, $F$30, BA21=$E$31, $F$31)</f>
        <v>0.9</v>
      </c>
      <c r="BC21">
        <f>1 - ((BB21-AZ21)^2) + (1 *AZ21)</f>
        <v>1.99</v>
      </c>
      <c r="BD21" t="s">
        <v>285</v>
      </c>
      <c r="BE21">
        <v>0</v>
      </c>
      <c r="BF21">
        <v>4</v>
      </c>
      <c r="BG21" cm="1">
        <f t="array" ref="BG21">_xlfn.IFS(BF21=$E$25, $F$25, BF21=$E$26, $F$26, BF21=$E$27, $F$27, BF21=$E$28, $F$28, BF21=$E$29, $F$29, BF21=$E$30, $F$30, BF21=$E$31, $F$31)</f>
        <v>0.5</v>
      </c>
      <c r="BH21">
        <f>1 - ((BG21-BE21)^2) + (1 *BE21)</f>
        <v>0.75</v>
      </c>
      <c r="BI21" t="s">
        <v>286</v>
      </c>
      <c r="BJ21">
        <v>1</v>
      </c>
      <c r="BK21">
        <v>5</v>
      </c>
      <c r="BL21" cm="1">
        <f t="array" ref="BL21">_xlfn.IFS(BK21=$E$25, $F$25, BK21=$E$26, $F$26, BK21=$E$27, $F$27, BK21=$E$28, $F$28, BK21=$E$29, $F$29, BK21=$E$30, $F$30, BK21=$E$31, $F$31)</f>
        <v>0.6</v>
      </c>
      <c r="BM21">
        <f>1 - ((BL21-BJ21)^2) + (1 *BJ21)</f>
        <v>1.8399999999999999</v>
      </c>
      <c r="BN21" t="s">
        <v>88</v>
      </c>
      <c r="BO21">
        <v>1</v>
      </c>
      <c r="BP21">
        <v>7</v>
      </c>
      <c r="BQ21" cm="1">
        <f t="array" ref="BQ21">_xlfn.IFS(BP21=$E$25, $F$25, BP21=$E$26, $F$26, BP21=$E$27, $F$27, BP21=$E$28, $F$28, BP21=$E$29, $F$29, BP21=$E$30, $F$30, BP21=$E$31, $F$31)</f>
        <v>0.9</v>
      </c>
      <c r="BR21">
        <f>1 - ((BQ21-BO21)^2) + (1 *BO21)</f>
        <v>1.99</v>
      </c>
      <c r="BS21" t="s">
        <v>119</v>
      </c>
      <c r="BT21">
        <v>0</v>
      </c>
      <c r="BU21">
        <v>4</v>
      </c>
      <c r="BV21" cm="1">
        <f t="array" ref="BV21">_xlfn.IFS(BU21=$E$25, $F$25, BU21=$E$26, $F$26, BU21=$E$27, $F$27, BU21=$E$28, $F$28, BU21=$E$29, $F$29, BU21=$E$30, $F$30, BU21=$E$31, $F$31)</f>
        <v>0.5</v>
      </c>
      <c r="BW21">
        <f>1 - ((BV21-BT21)^2) + (1 *BT21)</f>
        <v>0.75</v>
      </c>
      <c r="BX21" t="s">
        <v>60</v>
      </c>
      <c r="BY21">
        <v>1</v>
      </c>
      <c r="BZ21">
        <v>7</v>
      </c>
      <c r="CA21" cm="1">
        <f t="array" ref="CA21">_xlfn.IFS(BZ21=$E$25, $F$25, BZ21=$E$26, $F$26, BZ21=$E$27, $F$27, BZ21=$E$28, $F$28, BZ21=$E$29, $F$29, BZ21=$E$30, $F$30, BZ21=$E$31, $F$31)</f>
        <v>0.9</v>
      </c>
      <c r="CB21">
        <f>1 - ((CA21-BY21)^2) + (1 *BY21)</f>
        <v>1.99</v>
      </c>
      <c r="CC21" t="s">
        <v>61</v>
      </c>
      <c r="CD21">
        <v>1</v>
      </c>
      <c r="CE21">
        <v>7</v>
      </c>
      <c r="CF21" cm="1">
        <f t="array" ref="CF21">_xlfn.IFS(CE21=$E$25, $F$25, CE21=$E$26, $F$26, CE21=$E$27, $F$27, CE21=$E$28, $F$28, CE21=$E$29, $F$29, CE21=$E$30, $F$30, CE21=$E$31, $F$31)</f>
        <v>0.9</v>
      </c>
      <c r="CG21">
        <f>1 - ((CF21-CD21)^2) + (1 *CD21)</f>
        <v>1.99</v>
      </c>
      <c r="CH21">
        <v>1980</v>
      </c>
      <c r="CI21">
        <v>1</v>
      </c>
      <c r="CJ21">
        <v>7</v>
      </c>
      <c r="CK21" cm="1">
        <f t="array" ref="CK21">_xlfn.IFS(CJ21=$E$25, $F$25, CJ21=$E$26, $F$26, CJ21=$E$27, $F$27, CJ21=$E$28, $F$28, CJ21=$E$29, $F$29, CJ21=$E$30, $F$30, CJ21=$E$31, $F$31)</f>
        <v>0.9</v>
      </c>
      <c r="CL21">
        <f>1 - ((CK21-CI21)^2) + (1 *CI21)</f>
        <v>1.99</v>
      </c>
      <c r="CM21" t="s">
        <v>62</v>
      </c>
      <c r="CN21">
        <v>0</v>
      </c>
      <c r="CO21">
        <v>4</v>
      </c>
      <c r="CP21" cm="1">
        <f t="array" ref="CP21">_xlfn.IFS(CO21=$E$25, $F$25, CO21=$E$26, $F$26, CO21=$E$27, $F$27, CO21=$E$28, $F$28, CO21=$E$29, $F$29, CO21=$E$30, $F$30, CO21=$E$31, $F$31)</f>
        <v>0.5</v>
      </c>
      <c r="CQ21">
        <f>1 - ((CP21-CN21)^2) + (1 *CN21)</f>
        <v>0.75</v>
      </c>
      <c r="CR21">
        <v>12</v>
      </c>
      <c r="CS21">
        <v>1</v>
      </c>
      <c r="CT21">
        <v>7</v>
      </c>
      <c r="CU21" cm="1">
        <f t="array" ref="CU21">_xlfn.IFS(CT21=$E$25, $F$25, CT21=$E$26, $F$26, CT21=$E$27, $F$27, CT21=$E$28, $F$28, CT21=$E$29, $F$29, CT21=$E$30, $F$30, CT21=$E$31, $F$31)</f>
        <v>0.9</v>
      </c>
      <c r="CV21">
        <f>1 - ((CU21-CS21)^2) + (1 *CS21)</f>
        <v>1.99</v>
      </c>
      <c r="CW21" t="s">
        <v>287</v>
      </c>
      <c r="CX21">
        <v>1</v>
      </c>
      <c r="CY21">
        <v>7</v>
      </c>
      <c r="CZ21" cm="1">
        <f t="array" ref="CZ21">_xlfn.IFS(CY21=$E$25, $F$25, CY21=$E$26, $F$26, CY21=$E$27, $F$27, CY21=$E$28, $F$28, CY21=$E$29, $F$29, CY21=$E$30, $F$30, CY21=$E$31, $F$31)</f>
        <v>0.9</v>
      </c>
      <c r="DA21">
        <f>1 - ((CZ21-CX21)^2) + (1 *CX21)</f>
        <v>1.99</v>
      </c>
    </row>
    <row r="22" spans="1:105">
      <c r="A22" s="3">
        <v>45996.780069444445</v>
      </c>
      <c r="B22">
        <v>9</v>
      </c>
      <c r="C22" s="2">
        <f>ROUND(SUMIF($F$1:$CS$1, "Weighted Score", $F22:$CS22),2)</f>
        <v>22.07</v>
      </c>
      <c r="D22" t="s">
        <v>288</v>
      </c>
      <c r="E22" t="s">
        <v>289</v>
      </c>
      <c r="F22" t="s">
        <v>103</v>
      </c>
      <c r="G22">
        <v>0</v>
      </c>
      <c r="H22">
        <v>6</v>
      </c>
      <c r="I22" cm="1">
        <f t="array" ref="I22">_xlfn.IFS(H22=$E$25, $F$25, H22=$E$26, $F$26, H22=$E$27, $F$27, H22=$E$28, $F$28, H22=$E$29, $F$29, H22=$E$30, $F$30, H22=$E$31, $F$31)</f>
        <v>0.75</v>
      </c>
      <c r="J22">
        <f>1 - ((I22-G22)^2) + (1 *G22)</f>
        <v>0.4375</v>
      </c>
      <c r="K22" t="s">
        <v>96</v>
      </c>
      <c r="L22">
        <v>0</v>
      </c>
      <c r="M22">
        <v>3</v>
      </c>
      <c r="N22" cm="1">
        <f t="array" ref="N22">_xlfn.IFS(M22=$E$25, $F$25, M22=$E$26, $F$26, M22=$E$27, $F$27, M22=$E$28, $F$28, M22=$E$29, $F$29, M22=$E$30, $F$30, M22=$E$31, $F$31)</f>
        <v>0.4</v>
      </c>
      <c r="O22">
        <f>1 - ((N22-L22)^2) + (1 *L22)</f>
        <v>0.84</v>
      </c>
      <c r="P22" t="s">
        <v>131</v>
      </c>
      <c r="Q22">
        <v>0</v>
      </c>
      <c r="R22">
        <v>3</v>
      </c>
      <c r="S22" cm="1">
        <f t="array" ref="S22">_xlfn.IFS(R22=$E$25, $F$25, R22=$E$26, $F$26, R22=$E$27, $F$27, R22=$E$28, $F$28, R22=$E$29, $F$29, R22=$E$30, $F$30, R22=$E$31, $F$31)</f>
        <v>0.4</v>
      </c>
      <c r="T22">
        <f>1 - ((S22-Q22)^2) + (1 *Q22)</f>
        <v>0.84</v>
      </c>
      <c r="U22">
        <v>18</v>
      </c>
      <c r="V22">
        <v>1</v>
      </c>
      <c r="W22">
        <v>7</v>
      </c>
      <c r="X22" cm="1">
        <f t="array" ref="X22">_xlfn.IFS(W22=$E$25, $F$25, W22=$E$26, $F$26, W22=$E$27, $F$27, W22=$E$28, $F$28, W22=$E$29, $F$29, W22=$E$30, $F$30, W22=$E$31, $F$31)</f>
        <v>0.9</v>
      </c>
      <c r="Y22">
        <f>1 - ((X22-V22)^2) + (1 *V22)</f>
        <v>1.99</v>
      </c>
      <c r="Z22" t="s">
        <v>97</v>
      </c>
      <c r="AA22">
        <v>0</v>
      </c>
      <c r="AB22">
        <v>1</v>
      </c>
      <c r="AC22" cm="1">
        <f t="array" ref="AC22">_xlfn.IFS(AB22=$E$25, $F$25, AB22=$E$26, $F$26, AB22=$E$27, $F$27, AB22=$E$28, $F$28, AB22=$E$29, $F$29, AB22=$E$30, $F$30, AB22=$E$31, $F$31)</f>
        <v>0.1</v>
      </c>
      <c r="AD22">
        <f>1 - ((AC22-AA22)^2) + (1 *AA22)</f>
        <v>0.99</v>
      </c>
      <c r="AE22" s="1">
        <v>0.2</v>
      </c>
      <c r="AF22">
        <v>1</v>
      </c>
      <c r="AG22">
        <v>7</v>
      </c>
      <c r="AH22" cm="1">
        <f t="array" ref="AH22">_xlfn.IFS(AG22=$E$25, $F$25, AG22=$E$26, $F$26, AG22=$E$27, $F$27, AG22=$E$28, $F$28, AG22=$E$29, $F$29, AG22=$E$30, $F$30, AG22=$E$31, $F$31)</f>
        <v>0.9</v>
      </c>
      <c r="AI22">
        <f>1 - ((AH22-AF22)^2) + (1 *AF22)</f>
        <v>1.99</v>
      </c>
      <c r="AJ22" t="s">
        <v>52</v>
      </c>
      <c r="AK22">
        <v>1</v>
      </c>
      <c r="AL22">
        <v>7</v>
      </c>
      <c r="AM22" cm="1">
        <f t="array" ref="AM22">_xlfn.IFS(AL22=$E$25, $F$25, AL22=$E$26, $F$26, AL22=$E$27, $F$27, AL22=$E$28, $F$28, AL22=$E$29, $F$29, AL22=$E$30, $F$30, AL22=$E$31, $F$31)</f>
        <v>0.9</v>
      </c>
      <c r="AN22">
        <f>1 - ((AM22-AK22)^2) + (1 *AK22)</f>
        <v>1.99</v>
      </c>
      <c r="AO22" t="s">
        <v>77</v>
      </c>
      <c r="AP22">
        <v>0</v>
      </c>
      <c r="AQ22">
        <v>6</v>
      </c>
      <c r="AR22" cm="1">
        <f t="array" ref="AR22">_xlfn.IFS(AQ22=$E$25, $F$25, AQ22=$E$26, $F$26, AQ22=$E$27, $F$27, AQ22=$E$28, $F$28, AQ22=$E$29, $F$29, AQ22=$E$30, $F$30, AQ22=$E$31, $F$31)</f>
        <v>0.75</v>
      </c>
      <c r="AS22">
        <f>1 - ((AR22-AP22)^2) + (1 *AP22)</f>
        <v>0.4375</v>
      </c>
      <c r="AT22" t="s">
        <v>54</v>
      </c>
      <c r="AU22">
        <v>1</v>
      </c>
      <c r="AV22">
        <v>3</v>
      </c>
      <c r="AW22" cm="1">
        <f t="array" ref="AW22">_xlfn.IFS(AV22=$E$25, $F$25, AV22=$E$26, $F$26, AV22=$E$27, $F$27, AV22=$E$28, $F$28, AV22=$E$29, $F$29, AV22=$E$30, $F$30, AV22=$E$31, $F$31)</f>
        <v>0.4</v>
      </c>
      <c r="AX22">
        <f>1 - ((AW22-AU22)^2) + (1 *AU22)</f>
        <v>1.6400000000000001</v>
      </c>
      <c r="AY22" t="s">
        <v>173</v>
      </c>
      <c r="AZ22">
        <v>0</v>
      </c>
      <c r="BA22">
        <v>7</v>
      </c>
      <c r="BB22" cm="1">
        <f t="array" ref="BB22">_xlfn.IFS(BA22=$E$25, $F$25, BA22=$E$26, $F$26, BA22=$E$27, $F$27, BA22=$E$28, $F$28, BA22=$E$29, $F$29, BA22=$E$30, $F$30, BA22=$E$31, $F$31)</f>
        <v>0.9</v>
      </c>
      <c r="BC22">
        <f>1 - ((BB22-AZ22)^2) + (1 *AZ22)</f>
        <v>0.18999999999999995</v>
      </c>
      <c r="BD22" t="s">
        <v>290</v>
      </c>
      <c r="BE22">
        <v>0</v>
      </c>
      <c r="BF22">
        <v>2</v>
      </c>
      <c r="BG22" cm="1">
        <f t="array" ref="BG22">_xlfn.IFS(BF22=$E$25, $F$25, BF22=$E$26, $F$26, BF22=$E$27, $F$27, BF22=$E$28, $F$28, BF22=$E$29, $F$29, BF22=$E$30, $F$30, BF22=$E$31, $F$31)</f>
        <v>0.25</v>
      </c>
      <c r="BH22">
        <f>1 - ((BG22-BE22)^2) + (1 *BE22)</f>
        <v>0.9375</v>
      </c>
      <c r="BI22" t="s">
        <v>291</v>
      </c>
      <c r="BJ22">
        <v>1</v>
      </c>
      <c r="BK22">
        <v>7</v>
      </c>
      <c r="BL22" cm="1">
        <f t="array" ref="BL22">_xlfn.IFS(BK22=$E$25, $F$25, BK22=$E$26, $F$26, BK22=$E$27, $F$27, BK22=$E$28, $F$28, BK22=$E$29, $F$29, BK22=$E$30, $F$30, BK22=$E$31, $F$31)</f>
        <v>0.9</v>
      </c>
      <c r="BM22">
        <f>1 - ((BL22-BJ22)^2) + (1 *BJ22)</f>
        <v>1.99</v>
      </c>
      <c r="BN22" t="s">
        <v>58</v>
      </c>
      <c r="BO22">
        <v>0</v>
      </c>
      <c r="BP22">
        <v>4</v>
      </c>
      <c r="BQ22" cm="1">
        <f t="array" ref="BQ22">_xlfn.IFS(BP22=$E$25, $F$25, BP22=$E$26, $F$26, BP22=$E$27, $F$27, BP22=$E$28, $F$28, BP22=$E$29, $F$29, BP22=$E$30, $F$30, BP22=$E$31, $F$31)</f>
        <v>0.5</v>
      </c>
      <c r="BR22">
        <f>1 - ((BQ22-BO22)^2) + (1 *BO22)</f>
        <v>0.75</v>
      </c>
      <c r="BS22" t="s">
        <v>71</v>
      </c>
      <c r="BT22">
        <v>1</v>
      </c>
      <c r="BU22">
        <v>7</v>
      </c>
      <c r="BV22" cm="1">
        <f t="array" ref="BV22">_xlfn.IFS(BU22=$E$25, $F$25, BU22=$E$26, $F$26, BU22=$E$27, $F$27, BU22=$E$28, $F$28, BU22=$E$29, $F$29, BU22=$E$30, $F$30, BU22=$E$31, $F$31)</f>
        <v>0.9</v>
      </c>
      <c r="BW22">
        <f>1 - ((BV22-BT22)^2) + (1 *BT22)</f>
        <v>1.99</v>
      </c>
      <c r="BX22" t="s">
        <v>60</v>
      </c>
      <c r="BY22">
        <v>1</v>
      </c>
      <c r="BZ22">
        <v>7</v>
      </c>
      <c r="CA22" cm="1">
        <f t="array" ref="CA22">_xlfn.IFS(BZ22=$E$25, $F$25, BZ22=$E$26, $F$26, BZ22=$E$27, $F$27, BZ22=$E$28, $F$28, BZ22=$E$29, $F$29, BZ22=$E$30, $F$30, BZ22=$E$31, $F$31)</f>
        <v>0.9</v>
      </c>
      <c r="CB22">
        <f>1 - ((CA22-BY22)^2) + (1 *BY22)</f>
        <v>1.99</v>
      </c>
      <c r="CC22" t="s">
        <v>61</v>
      </c>
      <c r="CD22">
        <v>1</v>
      </c>
      <c r="CE22">
        <v>7</v>
      </c>
      <c r="CF22" cm="1">
        <f t="array" ref="CF22">_xlfn.IFS(CE22=$E$25, $F$25, CE22=$E$26, $F$26, CE22=$E$27, $F$27, CE22=$E$28, $F$28, CE22=$E$29, $F$29, CE22=$E$30, $F$30, CE22=$E$31, $F$31)</f>
        <v>0.9</v>
      </c>
      <c r="CG22">
        <f>1 - ((CF22-CD22)^2) + (1 *CD22)</f>
        <v>1.99</v>
      </c>
      <c r="CH22">
        <v>1997</v>
      </c>
      <c r="CI22">
        <v>0</v>
      </c>
      <c r="CJ22">
        <v>5</v>
      </c>
      <c r="CK22" cm="1">
        <f t="array" ref="CK22">_xlfn.IFS(CJ22=$E$25, $F$25, CJ22=$E$26, $F$26, CJ22=$E$27, $F$27, CJ22=$E$28, $F$28, CJ22=$E$29, $F$29, CJ22=$E$30, $F$30, CJ22=$E$31, $F$31)</f>
        <v>0.6</v>
      </c>
      <c r="CL22">
        <f>1 - ((CK22-CI22)^2) + (1 *CI22)</f>
        <v>0.64</v>
      </c>
      <c r="CM22" t="s">
        <v>62</v>
      </c>
      <c r="CN22">
        <v>0</v>
      </c>
      <c r="CO22">
        <v>6</v>
      </c>
      <c r="CP22" cm="1">
        <f t="array" ref="CP22">_xlfn.IFS(CO22=$E$25, $F$25, CO22=$E$26, $F$26, CO22=$E$27, $F$27, CO22=$E$28, $F$28, CO22=$E$29, $F$29, CO22=$E$30, $F$30, CO22=$E$31, $F$31)</f>
        <v>0.75</v>
      </c>
      <c r="CQ22">
        <f>1 - ((CP22-CN22)^2) + (1 *CN22)</f>
        <v>0.4375</v>
      </c>
      <c r="CR22">
        <v>12</v>
      </c>
      <c r="CS22">
        <v>1</v>
      </c>
      <c r="CT22">
        <v>7</v>
      </c>
      <c r="CU22" cm="1">
        <f t="array" ref="CU22">_xlfn.IFS(CT22=$E$25, $F$25, CT22=$E$26, $F$26, CT22=$E$27, $F$27, CT22=$E$28, $F$28, CT22=$E$29, $F$29, CT22=$E$30, $F$30, CT22=$E$31, $F$31)</f>
        <v>0.9</v>
      </c>
      <c r="CV22">
        <f>1 - ((CU22-CS22)^2) + (1 *CS22)</f>
        <v>1.99</v>
      </c>
      <c r="CW22" t="s">
        <v>82</v>
      </c>
      <c r="CX22">
        <v>0</v>
      </c>
      <c r="CY22">
        <v>6</v>
      </c>
      <c r="CZ22" cm="1">
        <f t="array" ref="CZ22">_xlfn.IFS(CY22=$E$25, $F$25, CY22=$E$26, $F$26, CY22=$E$27, $F$27, CY22=$E$28, $F$28, CY22=$E$29, $F$29, CY22=$E$30, $F$30, CY22=$E$31, $F$31)</f>
        <v>0.75</v>
      </c>
      <c r="DA22">
        <f>1 - ((CZ22-CX22)^2) + (1 *CX22)</f>
        <v>0.4375</v>
      </c>
    </row>
    <row r="24" spans="1:105">
      <c r="A24" t="s">
        <v>190</v>
      </c>
      <c r="B24" s="2">
        <f>ROUND(AVERAGE(B2:B22),2)</f>
        <v>9.86</v>
      </c>
      <c r="C24" s="2">
        <f>ROUND(AVERAGE(C2:C22),2)</f>
        <v>23.66</v>
      </c>
      <c r="E24" t="s">
        <v>191</v>
      </c>
      <c r="F24" t="s">
        <v>192</v>
      </c>
    </row>
    <row r="25" spans="1:105">
      <c r="A25" t="s">
        <v>195</v>
      </c>
      <c r="B25">
        <f>ROUND(_xlfn.STDEV.P(B2:B22),2)</f>
        <v>2.64</v>
      </c>
      <c r="C25">
        <f>ROUND(_xlfn.STDEV.P(C2:C22),2)</f>
        <v>2.79</v>
      </c>
      <c r="E25" s="5">
        <v>1</v>
      </c>
      <c r="F25" s="4">
        <v>0.1</v>
      </c>
    </row>
    <row r="26" spans="1:105">
      <c r="A26" t="s">
        <v>196</v>
      </c>
      <c r="B26">
        <f>MAX(B2:B22)</f>
        <v>15</v>
      </c>
      <c r="C26" s="2">
        <f>MAX(C2:C22)</f>
        <v>29.11</v>
      </c>
      <c r="E26" s="5">
        <v>2</v>
      </c>
      <c r="F26" s="4">
        <v>0.25</v>
      </c>
    </row>
    <row r="27" spans="1:105">
      <c r="A27" t="s">
        <v>197</v>
      </c>
      <c r="B27">
        <f>MIN(B2:B22)</f>
        <v>4</v>
      </c>
      <c r="C27">
        <f>MIN(C2:C22)</f>
        <v>18</v>
      </c>
      <c r="E27" s="5">
        <v>3</v>
      </c>
      <c r="F27" s="4">
        <v>0.4</v>
      </c>
    </row>
    <row r="28" spans="1:105">
      <c r="E28" s="5">
        <v>4</v>
      </c>
      <c r="F28" s="4">
        <v>0.5</v>
      </c>
    </row>
    <row r="29" spans="1:105">
      <c r="E29" s="5">
        <v>5</v>
      </c>
      <c r="F29" s="4">
        <v>0.6</v>
      </c>
    </row>
    <row r="30" spans="1:105">
      <c r="E30" s="5">
        <v>6</v>
      </c>
      <c r="F30" s="4">
        <v>0.75</v>
      </c>
    </row>
    <row r="31" spans="1:105">
      <c r="E31" s="5">
        <v>7</v>
      </c>
      <c r="F31" s="4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81aa0f-df26-4a3e-80fa-bf3e5843c1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58DA5CEDF724C9238EFDF61AEC296" ma:contentTypeVersion="17" ma:contentTypeDescription="Create a new document." ma:contentTypeScope="" ma:versionID="6d177169e51312fda6270942e128fe7d">
  <xsd:schema xmlns:xsd="http://www.w3.org/2001/XMLSchema" xmlns:xs="http://www.w3.org/2001/XMLSchema" xmlns:p="http://schemas.microsoft.com/office/2006/metadata/properties" xmlns:ns3="9e81aa0f-df26-4a3e-80fa-bf3e5843c1d6" xmlns:ns4="cbdafd04-c175-4161-91f9-445a90cc22dc" targetNamespace="http://schemas.microsoft.com/office/2006/metadata/properties" ma:root="true" ma:fieldsID="2657e3165dd95ecf748e347c58baf81d" ns3:_="" ns4:_="">
    <xsd:import namespace="9e81aa0f-df26-4a3e-80fa-bf3e5843c1d6"/>
    <xsd:import namespace="cbdafd04-c175-4161-91f9-445a90cc22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1aa0f-df26-4a3e-80fa-bf3e5843c1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afd04-c175-4161-91f9-445a90cc22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09FAC7-99E1-4B5E-B10A-2D304995D425}"/>
</file>

<file path=customXml/itemProps2.xml><?xml version="1.0" encoding="utf-8"?>
<ds:datastoreItem xmlns:ds="http://schemas.openxmlformats.org/officeDocument/2006/customXml" ds:itemID="{98F0465D-4F59-4526-B087-8B5775F746D6}"/>
</file>

<file path=customXml/itemProps3.xml><?xml version="1.0" encoding="utf-8"?>
<ds:datastoreItem xmlns:ds="http://schemas.openxmlformats.org/officeDocument/2006/customXml" ds:itemID="{98A6B9F2-BA74-48E2-82B2-2F7593793C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</dc:creator>
  <cp:keywords/>
  <dc:description/>
  <cp:lastModifiedBy/>
  <cp:revision/>
  <dcterms:created xsi:type="dcterms:W3CDTF">2025-12-07T06:25:00Z</dcterms:created>
  <dcterms:modified xsi:type="dcterms:W3CDTF">2025-12-09T05:59:22Z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0x01010012558DA5CEDF724C9238EFDF61AEC296</vt:lpwstr>
  </property>
</Properties>
</file>